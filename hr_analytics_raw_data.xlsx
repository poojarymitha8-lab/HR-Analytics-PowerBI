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awData" sheetId="1" r:id="rId1"/>
  </sheets>
  <definedNames>
    <definedName name="_xlnm._FilterDatabase" localSheetId="0" hidden="1">RawData!$A$1:$K$1509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<sst xmlns="http://schemas.openxmlformats.org/spreadsheetml/2006/main" count="12235" uniqueCount="2880">
  <si>
    <t>EmployeeID</t>
  </si>
  <si>
    <t>FirstName</t>
  </si>
  <si>
    <t>LastName</t>
  </si>
  <si>
    <t>Department</t>
  </si>
  <si>
    <t>JobRole</t>
  </si>
  <si>
    <t>Age</t>
  </si>
  <si>
    <t>Gender</t>
  </si>
  <si>
    <t>HireDate</t>
  </si>
  <si>
    <t>ExitDate</t>
  </si>
  <si>
    <t>AttritionStatus</t>
  </si>
  <si>
    <t>MonthlyIncome</t>
  </si>
  <si>
    <t>E2486</t>
  </si>
  <si>
    <t>Aadhya</t>
  </si>
  <si>
    <t>Nair</t>
  </si>
  <si>
    <t>Others</t>
  </si>
  <si>
    <t>Operations Executive</t>
  </si>
  <si>
    <t>Male</t>
  </si>
  <si>
    <t>Active</t>
  </si>
  <si>
    <t>E2396</t>
  </si>
  <si>
    <t>Liam</t>
  </si>
  <si>
    <t>Patel</t>
  </si>
  <si>
    <t>Engineering</t>
  </si>
  <si>
    <t>QA Engineer</t>
  </si>
  <si>
    <t>Female</t>
  </si>
  <si>
    <t>E2497</t>
  </si>
  <si>
    <t>Isabella</t>
  </si>
  <si>
    <t>Bhat</t>
  </si>
  <si>
    <t>HR</t>
  </si>
  <si>
    <t>Talent Acquisition</t>
  </si>
  <si>
    <t>08-09-2020</t>
  </si>
  <si>
    <t>E1388</t>
  </si>
  <si>
    <t>Sai</t>
  </si>
  <si>
    <t>Desai</t>
  </si>
  <si>
    <t>Finance</t>
  </si>
  <si>
    <t>Accountant</t>
  </si>
  <si>
    <t>08-09-2021</t>
  </si>
  <si>
    <t>E1458</t>
  </si>
  <si>
    <t>Neha</t>
  </si>
  <si>
    <t>Taylor</t>
  </si>
  <si>
    <t>27-12-2020</t>
  </si>
  <si>
    <t>E2138</t>
  </si>
  <si>
    <t>Pari</t>
  </si>
  <si>
    <t>Sharma</t>
  </si>
  <si>
    <t>Sales</t>
  </si>
  <si>
    <t>Sales Executive</t>
  </si>
  <si>
    <t>11-09-2023</t>
  </si>
  <si>
    <t>E1654</t>
  </si>
  <si>
    <t>William</t>
  </si>
  <si>
    <t>Account Manager</t>
  </si>
  <si>
    <t>09-10-2022</t>
  </si>
  <si>
    <t>24-05-2025</t>
  </si>
  <si>
    <t>Left</t>
  </si>
  <si>
    <t>E2216</t>
  </si>
  <si>
    <t>Brown</t>
  </si>
  <si>
    <t>HR Executive</t>
  </si>
  <si>
    <t>17-03-2020</t>
  </si>
  <si>
    <t>29-05-2023</t>
  </si>
  <si>
    <t>E2464</t>
  </si>
  <si>
    <t>Sneha</t>
  </si>
  <si>
    <t>Kumar</t>
  </si>
  <si>
    <t>08-04-2024</t>
  </si>
  <si>
    <t>E1015</t>
  </si>
  <si>
    <t>Ava</t>
  </si>
  <si>
    <t>Joshi</t>
  </si>
  <si>
    <t>Marketing</t>
  </si>
  <si>
    <t>Marketing Manager</t>
  </si>
  <si>
    <t>13-05-2024</t>
  </si>
  <si>
    <t>E1554</t>
  </si>
  <si>
    <t>Ishaan</t>
  </si>
  <si>
    <t>Johnson</t>
  </si>
  <si>
    <t>Sales Manager</t>
  </si>
  <si>
    <t>10-08-2024</t>
  </si>
  <si>
    <t>E2056</t>
  </si>
  <si>
    <t>Aditya</t>
  </si>
  <si>
    <t>Mukherjee</t>
  </si>
  <si>
    <t>Admin Executive</t>
  </si>
  <si>
    <t>09-11-2021</t>
  </si>
  <si>
    <t>E1840</t>
  </si>
  <si>
    <t>Emma</t>
  </si>
  <si>
    <t>Finance Analyst</t>
  </si>
  <si>
    <t>09-11-2022</t>
  </si>
  <si>
    <t>E1046</t>
  </si>
  <si>
    <t>Mason</t>
  </si>
  <si>
    <t>Verma</t>
  </si>
  <si>
    <t>26-03-2022</t>
  </si>
  <si>
    <t>E2218</t>
  </si>
  <si>
    <t>Ayaan</t>
  </si>
  <si>
    <t>Senior Engineer</t>
  </si>
  <si>
    <t>23-08-2021</t>
  </si>
  <si>
    <t>E2285</t>
  </si>
  <si>
    <t>Divya</t>
  </si>
  <si>
    <t>09-08-2023</t>
  </si>
  <si>
    <t>E2194</t>
  </si>
  <si>
    <t>Arjun</t>
  </si>
  <si>
    <t>Wilson</t>
  </si>
  <si>
    <t>Software Engineer</t>
  </si>
  <si>
    <t>07-03-2023</t>
  </si>
  <si>
    <t>E1682</t>
  </si>
  <si>
    <t>Priya</t>
  </si>
  <si>
    <t>finance</t>
  </si>
  <si>
    <t>26-06-2024</t>
  </si>
  <si>
    <t>E2140</t>
  </si>
  <si>
    <t>Rohan</t>
  </si>
  <si>
    <t>Iyer</t>
  </si>
  <si>
    <t>08-07-2019</t>
  </si>
  <si>
    <t>E2027</t>
  </si>
  <si>
    <t>Vivaan</t>
  </si>
  <si>
    <t>07-09-2022</t>
  </si>
  <si>
    <t>E1504</t>
  </si>
  <si>
    <t>Karan</t>
  </si>
  <si>
    <t>16-05-2025</t>
  </si>
  <si>
    <t>E1182</t>
  </si>
  <si>
    <t>Saanvi</t>
  </si>
  <si>
    <t>Singh</t>
  </si>
  <si>
    <t>17-02-2022</t>
  </si>
  <si>
    <t>E2313</t>
  </si>
  <si>
    <t>25-04-2022</t>
  </si>
  <si>
    <t>E2040</t>
  </si>
  <si>
    <t>sales</t>
  </si>
  <si>
    <t>09-03-2026</t>
  </si>
  <si>
    <t>E1941</t>
  </si>
  <si>
    <t>Isha</t>
  </si>
  <si>
    <t>HR Manager</t>
  </si>
  <si>
    <t>25-03-2026</t>
  </si>
  <si>
    <t>E1368</t>
  </si>
  <si>
    <t>Olivia</t>
  </si>
  <si>
    <t>03-03-2023</t>
  </si>
  <si>
    <t>E1247</t>
  </si>
  <si>
    <t>Reyansh</t>
  </si>
  <si>
    <t>Kulkarni</t>
  </si>
  <si>
    <t>21-12-2023</t>
  </si>
  <si>
    <t>E1264</t>
  </si>
  <si>
    <t>11-04-2021</t>
  </si>
  <si>
    <t>E1530</t>
  </si>
  <si>
    <t>Vihaan</t>
  </si>
  <si>
    <t>Menon</t>
  </si>
  <si>
    <t>26-07-2020</t>
  </si>
  <si>
    <t>E1802</t>
  </si>
  <si>
    <t>19-03-2019</t>
  </si>
  <si>
    <t>04-11-2022</t>
  </si>
  <si>
    <t>E1557</t>
  </si>
  <si>
    <t>Anika</t>
  </si>
  <si>
    <t>15-01-2025</t>
  </si>
  <si>
    <t>01-08-2025</t>
  </si>
  <si>
    <t>E2401</t>
  </si>
  <si>
    <t>Nikhil</t>
  </si>
  <si>
    <t>Das</t>
  </si>
  <si>
    <t>15-07-2023</t>
  </si>
  <si>
    <t>E1860</t>
  </si>
  <si>
    <t>21-02-2024</t>
  </si>
  <si>
    <t>25-09-2025</t>
  </si>
  <si>
    <t>E1702</t>
  </si>
  <si>
    <t>James</t>
  </si>
  <si>
    <t>29-11-2019</t>
  </si>
  <si>
    <t>E1404</t>
  </si>
  <si>
    <t>DevOps Engineer</t>
  </si>
  <si>
    <t>17-06-2021</t>
  </si>
  <si>
    <t>E1615</t>
  </si>
  <si>
    <t>27-07-2019</t>
  </si>
  <si>
    <t>E1146</t>
  </si>
  <si>
    <t>Krishna</t>
  </si>
  <si>
    <t>Marketing Associate</t>
  </si>
  <si>
    <t>29-03-2025</t>
  </si>
  <si>
    <t>E1722</t>
  </si>
  <si>
    <t>Rao</t>
  </si>
  <si>
    <t>05-06-2022</t>
  </si>
  <si>
    <t>E1810</t>
  </si>
  <si>
    <t>01-03-2022</t>
  </si>
  <si>
    <t>E1371</t>
  </si>
  <si>
    <t>Shetty</t>
  </si>
  <si>
    <t>10-07-2019</t>
  </si>
  <si>
    <t>E1287</t>
  </si>
  <si>
    <t>28-02-2026</t>
  </si>
  <si>
    <t>E1482</t>
  </si>
  <si>
    <t>Gupta</t>
  </si>
  <si>
    <t>09-02-2024</t>
  </si>
  <si>
    <t>E1733</t>
  </si>
  <si>
    <t>Chatterjee</t>
  </si>
  <si>
    <t>26-05-2025</t>
  </si>
  <si>
    <t>E1319</t>
  </si>
  <si>
    <t>26-12-2020</t>
  </si>
  <si>
    <t>E1471</t>
  </si>
  <si>
    <t>14-05-2026</t>
  </si>
  <si>
    <t>E1738</t>
  </si>
  <si>
    <t>12-04-2022</t>
  </si>
  <si>
    <t>E2238</t>
  </si>
  <si>
    <t>Diya</t>
  </si>
  <si>
    <t>ENGINEERING</t>
  </si>
  <si>
    <t>11-01-2021</t>
  </si>
  <si>
    <t>E1962</t>
  </si>
  <si>
    <t>02-06-2020</t>
  </si>
  <si>
    <t>E2500</t>
  </si>
  <si>
    <t>19-10-2022</t>
  </si>
  <si>
    <t>E1138</t>
  </si>
  <si>
    <t>13-06-2019</t>
  </si>
  <si>
    <t>E1594</t>
  </si>
  <si>
    <t>08-02-2023</t>
  </si>
  <si>
    <t>E1771</t>
  </si>
  <si>
    <t>09-06-2025</t>
  </si>
  <si>
    <t>E2243</t>
  </si>
  <si>
    <t>10-06-2019</t>
  </si>
  <si>
    <t>E1625</t>
  </si>
  <si>
    <t>15-09-2020</t>
  </si>
  <si>
    <t>31-08-2023</t>
  </si>
  <si>
    <t>E1653</t>
  </si>
  <si>
    <t>Pillai</t>
  </si>
  <si>
    <t>27-03-2019</t>
  </si>
  <si>
    <t>E1598</t>
  </si>
  <si>
    <t>23-06-2021</t>
  </si>
  <si>
    <t>E2169</t>
  </si>
  <si>
    <t>06-10-2021</t>
  </si>
  <si>
    <t>10-02-2026</t>
  </si>
  <si>
    <t>E2415</t>
  </si>
  <si>
    <t>Reddy</t>
  </si>
  <si>
    <t>07-06-2025</t>
  </si>
  <si>
    <t>E1143</t>
  </si>
  <si>
    <t>Noah</t>
  </si>
  <si>
    <t>24-05-2020</t>
  </si>
  <si>
    <t>E2122</t>
  </si>
  <si>
    <t>17-07-2024</t>
  </si>
  <si>
    <t>E1574</t>
  </si>
  <si>
    <t>12-03-2026</t>
  </si>
  <si>
    <t>E1797</t>
  </si>
  <si>
    <t>Pooja</t>
  </si>
  <si>
    <t>16-12-2022</t>
  </si>
  <si>
    <t>E1506</t>
  </si>
  <si>
    <t>Sophia</t>
  </si>
  <si>
    <t>11-08-2025</t>
  </si>
  <si>
    <t>E1231</t>
  </si>
  <si>
    <t>04-08-2023</t>
  </si>
  <si>
    <t>11-09-2025</t>
  </si>
  <si>
    <t>E2298</t>
  </si>
  <si>
    <t>20-12-2021</t>
  </si>
  <si>
    <t>E1904</t>
  </si>
  <si>
    <t>13-11-2021</t>
  </si>
  <si>
    <t>E2255</t>
  </si>
  <si>
    <t>05-07-2019</t>
  </si>
  <si>
    <t>E2434</t>
  </si>
  <si>
    <t>Myra</t>
  </si>
  <si>
    <t>hr</t>
  </si>
  <si>
    <t>20-05-2022</t>
  </si>
  <si>
    <t>E1070</t>
  </si>
  <si>
    <t>13-06-2024</t>
  </si>
  <si>
    <t>E1573</t>
  </si>
  <si>
    <t>24-11-2022</t>
  </si>
  <si>
    <t>23-07-2025</t>
  </si>
  <si>
    <t>E2259</t>
  </si>
  <si>
    <t>20-07-2024</t>
  </si>
  <si>
    <t>E1364</t>
  </si>
  <si>
    <t>Smith</t>
  </si>
  <si>
    <t>07-07-2021</t>
  </si>
  <si>
    <t>E1782</t>
  </si>
  <si>
    <t>Rahul</t>
  </si>
  <si>
    <t>17-08-2020</t>
  </si>
  <si>
    <t>E1820</t>
  </si>
  <si>
    <t>23-03-2023</t>
  </si>
  <si>
    <t>04-09-2023</t>
  </si>
  <si>
    <t>E1644</t>
  </si>
  <si>
    <t>03-01-2023</t>
  </si>
  <si>
    <t>09-07-2023</t>
  </si>
  <si>
    <t>E1995</t>
  </si>
  <si>
    <t>14-08-2019</t>
  </si>
  <si>
    <t>E2314</t>
  </si>
  <si>
    <t>Sanjay</t>
  </si>
  <si>
    <t>02-11-2020</t>
  </si>
  <si>
    <t>E2271</t>
  </si>
  <si>
    <t>Content Specialist</t>
  </si>
  <si>
    <t>17-09-2020</t>
  </si>
  <si>
    <t>E1072</t>
  </si>
  <si>
    <t>26-10-2022</t>
  </si>
  <si>
    <t>E2411</t>
  </si>
  <si>
    <t>21-08-2025</t>
  </si>
  <si>
    <t>E1922</t>
  </si>
  <si>
    <t>26-03-2023</t>
  </si>
  <si>
    <t>E1174</t>
  </si>
  <si>
    <t>26-02-2022</t>
  </si>
  <si>
    <t>E1660</t>
  </si>
  <si>
    <t>07-10-2020</t>
  </si>
  <si>
    <t>E2445</t>
  </si>
  <si>
    <t>17-04-2021</t>
  </si>
  <si>
    <t>30-03-2022</t>
  </si>
  <si>
    <t>E1069</t>
  </si>
  <si>
    <t>25-07-2021</t>
  </si>
  <si>
    <t>24-04-2022</t>
  </si>
  <si>
    <t>E1059</t>
  </si>
  <si>
    <t>28-01-2025</t>
  </si>
  <si>
    <t>E1274</t>
  </si>
  <si>
    <t>E1478</t>
  </si>
  <si>
    <t>Aarav</t>
  </si>
  <si>
    <t>21-03-2020</t>
  </si>
  <si>
    <t>E2109</t>
  </si>
  <si>
    <t>01-10-2023</t>
  </si>
  <si>
    <t>E1609</t>
  </si>
  <si>
    <t>05-09-2023</t>
  </si>
  <si>
    <t>21-10-2024</t>
  </si>
  <si>
    <t>E2101</t>
  </si>
  <si>
    <t>31-12-2023</t>
  </si>
  <si>
    <t>E1342</t>
  </si>
  <si>
    <t>Kiara</t>
  </si>
  <si>
    <t>14-10-2020</t>
  </si>
  <si>
    <t>E1828</t>
  </si>
  <si>
    <t>17-04-2019</t>
  </si>
  <si>
    <t>E2097</t>
  </si>
  <si>
    <t>17-06-2024</t>
  </si>
  <si>
    <t>04-01-2025</t>
  </si>
  <si>
    <t>E1952</t>
  </si>
  <si>
    <t>22-07-2021</t>
  </si>
  <si>
    <t>01-06-2022</t>
  </si>
  <si>
    <t>E1817</t>
  </si>
  <si>
    <t>13-09-2022</t>
  </si>
  <si>
    <t>E1814</t>
  </si>
  <si>
    <t>E2228</t>
  </si>
  <si>
    <t>27-10-2020</t>
  </si>
  <si>
    <t>E1249</t>
  </si>
  <si>
    <t>07-08-2019</t>
  </si>
  <si>
    <t>30-11-2025</t>
  </si>
  <si>
    <t>E1198</t>
  </si>
  <si>
    <t>07-12-2025</t>
  </si>
  <si>
    <t>E2377</t>
  </si>
  <si>
    <t>13-04-2023</t>
  </si>
  <si>
    <t>E1406</t>
  </si>
  <si>
    <t>engineering</t>
  </si>
  <si>
    <t>11-11-2022</t>
  </si>
  <si>
    <t>E1628</t>
  </si>
  <si>
    <t>20-05-2026</t>
  </si>
  <si>
    <t>E2267</t>
  </si>
  <si>
    <t>11-05-2024</t>
  </si>
  <si>
    <t>E1279</t>
  </si>
  <si>
    <t>27-04-2024</t>
  </si>
  <si>
    <t>E1158</t>
  </si>
  <si>
    <t>15-03-2026</t>
  </si>
  <si>
    <t>E2444</t>
  </si>
  <si>
    <t>07-02-2023</t>
  </si>
  <si>
    <t>E2211</t>
  </si>
  <si>
    <t>01-03-2025</t>
  </si>
  <si>
    <t>E1749</t>
  </si>
  <si>
    <t>14-01-2026</t>
  </si>
  <si>
    <t>E2484</t>
  </si>
  <si>
    <t>13-02-2024</t>
  </si>
  <si>
    <t>E1908</t>
  </si>
  <si>
    <t>21-05-2020</t>
  </si>
  <si>
    <t>E2495</t>
  </si>
  <si>
    <t>11-10-2022</t>
  </si>
  <si>
    <t>E2435</t>
  </si>
  <si>
    <t>22-12-2022</t>
  </si>
  <si>
    <t>E1102</t>
  </si>
  <si>
    <t>11-09-2021</t>
  </si>
  <si>
    <t>E2016</t>
  </si>
  <si>
    <t>03-04-2024</t>
  </si>
  <si>
    <t>E1811</t>
  </si>
  <si>
    <t>03-07-2025</t>
  </si>
  <si>
    <t>09-04-2026</t>
  </si>
  <si>
    <t>E1533</t>
  </si>
  <si>
    <t>02-04-2026</t>
  </si>
  <si>
    <t>E1729</t>
  </si>
  <si>
    <t>29-08-2023</t>
  </si>
  <si>
    <t>E1334</t>
  </si>
  <si>
    <t>01-03-2019</t>
  </si>
  <si>
    <t>E1843</t>
  </si>
  <si>
    <t>17-04-2024</t>
  </si>
  <si>
    <t>E2026</t>
  </si>
  <si>
    <t>27-12-2019</t>
  </si>
  <si>
    <t>E1783</t>
  </si>
  <si>
    <t>03-10-2019</t>
  </si>
  <si>
    <t>24-08-2022</t>
  </si>
  <si>
    <t>E1144</t>
  </si>
  <si>
    <t>13-07-2025</t>
  </si>
  <si>
    <t>18-01-2026</t>
  </si>
  <si>
    <t>E2212</t>
  </si>
  <si>
    <t>17-09-2023</t>
  </si>
  <si>
    <t>E1463</t>
  </si>
  <si>
    <t>27-09-2024</t>
  </si>
  <si>
    <t>E1790</t>
  </si>
  <si>
    <t>04-07-2021</t>
  </si>
  <si>
    <t>E2458</t>
  </si>
  <si>
    <t>16-06-2021</t>
  </si>
  <si>
    <t>E2083</t>
  </si>
  <si>
    <t>28-02-2019</t>
  </si>
  <si>
    <t>E1983</t>
  </si>
  <si>
    <t>26-03-2019</t>
  </si>
  <si>
    <t>E2093</t>
  </si>
  <si>
    <t>02-11-2023</t>
  </si>
  <si>
    <t>E1461</t>
  </si>
  <si>
    <t>27-01-2026</t>
  </si>
  <si>
    <t>E1284</t>
  </si>
  <si>
    <t>12-08-2021</t>
  </si>
  <si>
    <t>E1066</t>
  </si>
  <si>
    <t>01-09-2024</t>
  </si>
  <si>
    <t>E2045</t>
  </si>
  <si>
    <t>E2488</t>
  </si>
  <si>
    <t>25-06-2019</t>
  </si>
  <si>
    <t>23-08-2023</t>
  </si>
  <si>
    <t>E1200</t>
  </si>
  <si>
    <t>18-01-2020</t>
  </si>
  <si>
    <t>E2079</t>
  </si>
  <si>
    <t>06-10-2019</t>
  </si>
  <si>
    <t>E1572</t>
  </si>
  <si>
    <t>17-05-2022</t>
  </si>
  <si>
    <t>E1240</t>
  </si>
  <si>
    <t>29-04-2022</t>
  </si>
  <si>
    <t>E2063</t>
  </si>
  <si>
    <t>Riya</t>
  </si>
  <si>
    <t>20-01-2024</t>
  </si>
  <si>
    <t>E1757</t>
  </si>
  <si>
    <t>09-03-2020</t>
  </si>
  <si>
    <t>E2373</t>
  </si>
  <si>
    <t>E1227</t>
  </si>
  <si>
    <t>16-09-2021</t>
  </si>
  <si>
    <t>E1401</t>
  </si>
  <si>
    <t>15-02-2022</t>
  </si>
  <si>
    <t>E1664</t>
  </si>
  <si>
    <t>E2300</t>
  </si>
  <si>
    <t>09-06-2019</t>
  </si>
  <si>
    <t>E1982</t>
  </si>
  <si>
    <t>07-02-2019</t>
  </si>
  <si>
    <t>10-11-2022</t>
  </si>
  <si>
    <t>E1403</t>
  </si>
  <si>
    <t>E2406</t>
  </si>
  <si>
    <t>23-11-2025</t>
  </si>
  <si>
    <t>E1536</t>
  </si>
  <si>
    <t>E1780</t>
  </si>
  <si>
    <t>10-01-2020</t>
  </si>
  <si>
    <t>E1477</t>
  </si>
  <si>
    <t>18-01-2019</t>
  </si>
  <si>
    <t>E2210</t>
  </si>
  <si>
    <t>10-12-2022</t>
  </si>
  <si>
    <t>E1047</t>
  </si>
  <si>
    <t>22-08-2022</t>
  </si>
  <si>
    <t>E2483</t>
  </si>
  <si>
    <t>28-07-2020</t>
  </si>
  <si>
    <t>E1652</t>
  </si>
  <si>
    <t>13-01-2024</t>
  </si>
  <si>
    <t>E2491</t>
  </si>
  <si>
    <t>08-02-2024</t>
  </si>
  <si>
    <t>E2422</t>
  </si>
  <si>
    <t>FINANCE</t>
  </si>
  <si>
    <t>12-01-2021</t>
  </si>
  <si>
    <t>E1772</t>
  </si>
  <si>
    <t>20-08-2021</t>
  </si>
  <si>
    <t>E2002</t>
  </si>
  <si>
    <t>10-01-2021</t>
  </si>
  <si>
    <t>E1412</t>
  </si>
  <si>
    <t>04-04-2021</t>
  </si>
  <si>
    <t>E1205</t>
  </si>
  <si>
    <t>08-09-2022</t>
  </si>
  <si>
    <t>E2278</t>
  </si>
  <si>
    <t>15-01-2021</t>
  </si>
  <si>
    <t>E2155</t>
  </si>
  <si>
    <t>30-08-2022</t>
  </si>
  <si>
    <t>21-01-2023</t>
  </si>
  <si>
    <t>E2049</t>
  </si>
  <si>
    <t>29-10-2025</t>
  </si>
  <si>
    <t>E1769</t>
  </si>
  <si>
    <t>05-02-2021</t>
  </si>
  <si>
    <t>E1742</t>
  </si>
  <si>
    <t>10-10-2020</t>
  </si>
  <si>
    <t>E2227</t>
  </si>
  <si>
    <t>25-12-2019</t>
  </si>
  <si>
    <t>E2308</t>
  </si>
  <si>
    <t>15-02-2026</t>
  </si>
  <si>
    <t>30-03-2026</t>
  </si>
  <si>
    <t>E2125</t>
  </si>
  <si>
    <t>12-05-2024</t>
  </si>
  <si>
    <t>E2472</t>
  </si>
  <si>
    <t>10-03-2023</t>
  </si>
  <si>
    <t>E2264</t>
  </si>
  <si>
    <t>28-01-2021</t>
  </si>
  <si>
    <t>E2378</t>
  </si>
  <si>
    <t>Ananya</t>
  </si>
  <si>
    <t>25-06-2024</t>
  </si>
  <si>
    <t>E1902</t>
  </si>
  <si>
    <t>16-12-2025</t>
  </si>
  <si>
    <t>E2335</t>
  </si>
  <si>
    <t>30-07-2023</t>
  </si>
  <si>
    <t>E1288</t>
  </si>
  <si>
    <t>31-01-2019</t>
  </si>
  <si>
    <t>E2159</t>
  </si>
  <si>
    <t>17-10-2025</t>
  </si>
  <si>
    <t>E1728</t>
  </si>
  <si>
    <t>30-04-2024</t>
  </si>
  <si>
    <t>E1281</t>
  </si>
  <si>
    <t>10-11-2025</t>
  </si>
  <si>
    <t>E1115</t>
  </si>
  <si>
    <t>29-04-2023</t>
  </si>
  <si>
    <t>E1509</t>
  </si>
  <si>
    <t>E2009</t>
  </si>
  <si>
    <t>E1985</t>
  </si>
  <si>
    <t>09-01-2022</t>
  </si>
  <si>
    <t>15-06-2023</t>
  </si>
  <si>
    <t>E1878</t>
  </si>
  <si>
    <t>11-02-2024</t>
  </si>
  <si>
    <t>E1018</t>
  </si>
  <si>
    <t>10-08-2020</t>
  </si>
  <si>
    <t>E1854</t>
  </si>
  <si>
    <t>01-09-2020</t>
  </si>
  <si>
    <t>E2180</t>
  </si>
  <si>
    <t>E2099</t>
  </si>
  <si>
    <t>10-12-2024</t>
  </si>
  <si>
    <t>E2189</t>
  </si>
  <si>
    <t>E1456</t>
  </si>
  <si>
    <t>30-04-2025</t>
  </si>
  <si>
    <t>E2427</t>
  </si>
  <si>
    <t>13-06-2026</t>
  </si>
  <si>
    <t>E1874</t>
  </si>
  <si>
    <t>19-04-2026</t>
  </si>
  <si>
    <t>E2043</t>
  </si>
  <si>
    <t>16-02-2022</t>
  </si>
  <si>
    <t>E2162</t>
  </si>
  <si>
    <t>08-01-2024</t>
  </si>
  <si>
    <t>E2317</t>
  </si>
  <si>
    <t>E1689</t>
  </si>
  <si>
    <t>10-03-2019</t>
  </si>
  <si>
    <t>01-12-2025</t>
  </si>
  <si>
    <t>E1787</t>
  </si>
  <si>
    <t>18-05-2023</t>
  </si>
  <si>
    <t>E1034</t>
  </si>
  <si>
    <t>17-03-2019</t>
  </si>
  <si>
    <t>E2485</t>
  </si>
  <si>
    <t>11-10-2024</t>
  </si>
  <si>
    <t>02-06-2025</t>
  </si>
  <si>
    <t>E1580</t>
  </si>
  <si>
    <t>01-04-2022</t>
  </si>
  <si>
    <t>E1242</t>
  </si>
  <si>
    <t>17-04-2023</t>
  </si>
  <si>
    <t>E1357</t>
  </si>
  <si>
    <t>18-08-2024</t>
  </si>
  <si>
    <t>E2328</t>
  </si>
  <si>
    <t>15-02-2021</t>
  </si>
  <si>
    <t>E1350</t>
  </si>
  <si>
    <t>26-04-2025</t>
  </si>
  <si>
    <t>E1679</t>
  </si>
  <si>
    <t>04-05-2024</t>
  </si>
  <si>
    <t>E1848</t>
  </si>
  <si>
    <t>E2171</t>
  </si>
  <si>
    <t>14-06-2020</t>
  </si>
  <si>
    <t>E1269</t>
  </si>
  <si>
    <t>20-04-2026</t>
  </si>
  <si>
    <t>E2352</t>
  </si>
  <si>
    <t>02-09-2021</t>
  </si>
  <si>
    <t>E1815</t>
  </si>
  <si>
    <t>29-04-2025</t>
  </si>
  <si>
    <t>08-01-2026</t>
  </si>
  <si>
    <t>E1337</t>
  </si>
  <si>
    <t>30-06-2021</t>
  </si>
  <si>
    <t>E2214</t>
  </si>
  <si>
    <t>31-12-2020</t>
  </si>
  <si>
    <t>E1915</t>
  </si>
  <si>
    <t>E1892</t>
  </si>
  <si>
    <t>09-02-2023</t>
  </si>
  <si>
    <t>E1803</t>
  </si>
  <si>
    <t>21-10-2021</t>
  </si>
  <si>
    <t>E1561</t>
  </si>
  <si>
    <t>05-08-2021</t>
  </si>
  <si>
    <t>E1273</t>
  </si>
  <si>
    <t>19-10-2020</t>
  </si>
  <si>
    <t>E2028</t>
  </si>
  <si>
    <t>27-06-2025</t>
  </si>
  <si>
    <t>E1094</t>
  </si>
  <si>
    <t>05-08-2022</t>
  </si>
  <si>
    <t>E2004</t>
  </si>
  <si>
    <t>E1795</t>
  </si>
  <si>
    <t>15-12-2021</t>
  </si>
  <si>
    <t>E1730</t>
  </si>
  <si>
    <t>27-06-2021</t>
  </si>
  <si>
    <t>E1872</t>
  </si>
  <si>
    <t>10-11-2020</t>
  </si>
  <si>
    <t>E1312</t>
  </si>
  <si>
    <t>26-09-2019</t>
  </si>
  <si>
    <t>E1808</t>
  </si>
  <si>
    <t>03-07-2022</t>
  </si>
  <si>
    <t>E2413</t>
  </si>
  <si>
    <t>22-02-2026</t>
  </si>
  <si>
    <t>E1162</t>
  </si>
  <si>
    <t>15-03-2024</t>
  </si>
  <si>
    <t>E1981</t>
  </si>
  <si>
    <t>17-07-2025</t>
  </si>
  <si>
    <t>E1906</t>
  </si>
  <si>
    <t>05-09-2020</t>
  </si>
  <si>
    <t>E2302</t>
  </si>
  <si>
    <t>08-11-2019</t>
  </si>
  <si>
    <t>E2105</t>
  </si>
  <si>
    <t>17-01-2020</t>
  </si>
  <si>
    <t>E1113</t>
  </si>
  <si>
    <t>28-01-2019</t>
  </si>
  <si>
    <t>E1520</t>
  </si>
  <si>
    <t>E1110</t>
  </si>
  <si>
    <t>08-06-2019</t>
  </si>
  <si>
    <t>E2035</t>
  </si>
  <si>
    <t>25-05-2024</t>
  </si>
  <si>
    <t>E1542</t>
  </si>
  <si>
    <t>21-10-2025</t>
  </si>
  <si>
    <t>E1189</t>
  </si>
  <si>
    <t>26-02-2023</t>
  </si>
  <si>
    <t>E2405</t>
  </si>
  <si>
    <t>marketing</t>
  </si>
  <si>
    <t>E1355</t>
  </si>
  <si>
    <t>29-09-2025</t>
  </si>
  <si>
    <t>E2130</t>
  </si>
  <si>
    <t>19-08-2024</t>
  </si>
  <si>
    <t>E1324</t>
  </si>
  <si>
    <t>21-05-2019</t>
  </si>
  <si>
    <t>E1370</t>
  </si>
  <si>
    <t>29-09-2019</t>
  </si>
  <si>
    <t>E2471</t>
  </si>
  <si>
    <t>E1739</t>
  </si>
  <si>
    <t>06-06-2022</t>
  </si>
  <si>
    <t>E1453</t>
  </si>
  <si>
    <t>26-04-2022</t>
  </si>
  <si>
    <t>E2258</t>
  </si>
  <si>
    <t>08-07-2025</t>
  </si>
  <si>
    <t>11-11-2025</t>
  </si>
  <si>
    <t>E1799</t>
  </si>
  <si>
    <t>21-11-2024</t>
  </si>
  <si>
    <t>E2254</t>
  </si>
  <si>
    <t>03-05-2026</t>
  </si>
  <si>
    <t>E1333</t>
  </si>
  <si>
    <t>07-08-2025</t>
  </si>
  <si>
    <t>E1019</t>
  </si>
  <si>
    <t>16-09-2024</t>
  </si>
  <si>
    <t>E1419</t>
  </si>
  <si>
    <t>25-02-2020</t>
  </si>
  <si>
    <t>E1184</t>
  </si>
  <si>
    <t>23-07-2022</t>
  </si>
  <si>
    <t>E1619</t>
  </si>
  <si>
    <t>09-05-2023</t>
  </si>
  <si>
    <t>E1386</t>
  </si>
  <si>
    <t>E1308</t>
  </si>
  <si>
    <t>13-09-2023</t>
  </si>
  <si>
    <t>E1676</t>
  </si>
  <si>
    <t>20-11-2021</t>
  </si>
  <si>
    <t>06-04-2022</t>
  </si>
  <si>
    <t>E1548</t>
  </si>
  <si>
    <t>21-07-2020</t>
  </si>
  <si>
    <t>16-03-2024</t>
  </si>
  <si>
    <t>E2355</t>
  </si>
  <si>
    <t>09-06-2022</t>
  </si>
  <si>
    <t>E1309</t>
  </si>
  <si>
    <t>14-06-2023</t>
  </si>
  <si>
    <t>E2015</t>
  </si>
  <si>
    <t>02-05-2024</t>
  </si>
  <si>
    <t>E1758</t>
  </si>
  <si>
    <t>07-02-2022</t>
  </si>
  <si>
    <t>E1667</t>
  </si>
  <si>
    <t>19-12-2020</t>
  </si>
  <si>
    <t>E1465</t>
  </si>
  <si>
    <t>E2135</t>
  </si>
  <si>
    <t>02-11-2022</t>
  </si>
  <si>
    <t>E1257</t>
  </si>
  <si>
    <t>MARKETING</t>
  </si>
  <si>
    <t>02-04-2021</t>
  </si>
  <si>
    <t>E1213</t>
  </si>
  <si>
    <t>03-09-2025</t>
  </si>
  <si>
    <t>E1260</t>
  </si>
  <si>
    <t>27-04-2025</t>
  </si>
  <si>
    <t>E2230</t>
  </si>
  <si>
    <t>30-12-2023</t>
  </si>
  <si>
    <t>E1422</t>
  </si>
  <si>
    <t>13-01-2026</t>
  </si>
  <si>
    <t>E2062</t>
  </si>
  <si>
    <t>22-06-2022</t>
  </si>
  <si>
    <t>E1236</t>
  </si>
  <si>
    <t>17-10-2019</t>
  </si>
  <si>
    <t>E1366</t>
  </si>
  <si>
    <t>26-06-2026</t>
  </si>
  <si>
    <t>E2334</t>
  </si>
  <si>
    <t>11-08-2023</t>
  </si>
  <si>
    <t>E2292</t>
  </si>
  <si>
    <t>E2293</t>
  </si>
  <si>
    <t>11-05-2019</t>
  </si>
  <si>
    <t>E1022</t>
  </si>
  <si>
    <t>04-06-2019</t>
  </si>
  <si>
    <t>E1847</t>
  </si>
  <si>
    <t>10-03-2020</t>
  </si>
  <si>
    <t>E1527</t>
  </si>
  <si>
    <t>18-04-2021</t>
  </si>
  <si>
    <t>E1306</t>
  </si>
  <si>
    <t>01-02-2023</t>
  </si>
  <si>
    <t>E1673</t>
  </si>
  <si>
    <t>19-02-2020</t>
  </si>
  <si>
    <t>E2294</t>
  </si>
  <si>
    <t>27-10-2023</t>
  </si>
  <si>
    <t>E1071</t>
  </si>
  <si>
    <t>08-12-2019</t>
  </si>
  <si>
    <t>26-09-2024</t>
  </si>
  <si>
    <t>E2353</t>
  </si>
  <si>
    <t>06-02-2022</t>
  </si>
  <si>
    <t>E2400</t>
  </si>
  <si>
    <t>26-09-2021</t>
  </si>
  <si>
    <t>E1663</t>
  </si>
  <si>
    <t>21-01-2022</t>
  </si>
  <si>
    <t>E1697</t>
  </si>
  <si>
    <t>03-08-2023</t>
  </si>
  <si>
    <t>E1021</t>
  </si>
  <si>
    <t>19-09-2021</t>
  </si>
  <si>
    <t>28-06-2022</t>
  </si>
  <si>
    <t>E1732</t>
  </si>
  <si>
    <t>25-08-2024</t>
  </si>
  <si>
    <t>E2203</t>
  </si>
  <si>
    <t>20-11-2022</t>
  </si>
  <si>
    <t>09-04-2024</t>
  </si>
  <si>
    <t>E2277</t>
  </si>
  <si>
    <t>15-07-2022</t>
  </si>
  <si>
    <t>E1665</t>
  </si>
  <si>
    <t>23-11-2021</t>
  </si>
  <si>
    <t>E2316</t>
  </si>
  <si>
    <t>E1850</t>
  </si>
  <si>
    <t>25-06-2026</t>
  </si>
  <si>
    <t>E1129</t>
  </si>
  <si>
    <t>27-03-2023</t>
  </si>
  <si>
    <t>E2199</t>
  </si>
  <si>
    <t>15-07-2020</t>
  </si>
  <si>
    <t>E1085</t>
  </si>
  <si>
    <t>21-04-2026</t>
  </si>
  <si>
    <t>E2197</t>
  </si>
  <si>
    <t>26-06-2019</t>
  </si>
  <si>
    <t>E1399</t>
  </si>
  <si>
    <t>29-01-2026</t>
  </si>
  <si>
    <t>E1488</t>
  </si>
  <si>
    <t>23-05-2024</t>
  </si>
  <si>
    <t>E2060</t>
  </si>
  <si>
    <t>24-07-2022</t>
  </si>
  <si>
    <t>E1473</t>
  </si>
  <si>
    <t>04-06-2021</t>
  </si>
  <si>
    <t>E2007</t>
  </si>
  <si>
    <t>E1480</t>
  </si>
  <si>
    <t>04-12-2020</t>
  </si>
  <si>
    <t>E2078</t>
  </si>
  <si>
    <t>22-07-2023</t>
  </si>
  <si>
    <t>E1864</t>
  </si>
  <si>
    <t>21-01-2024</t>
  </si>
  <si>
    <t>E2461</t>
  </si>
  <si>
    <t>19-01-2022</t>
  </si>
  <si>
    <t>E1008</t>
  </si>
  <si>
    <t>26-07-2019</t>
  </si>
  <si>
    <t>E1576</t>
  </si>
  <si>
    <t>29-01-2024</t>
  </si>
  <si>
    <t>E1826</t>
  </si>
  <si>
    <t>03-03-2019</t>
  </si>
  <si>
    <t>E2437</t>
  </si>
  <si>
    <t>14-09-2025</t>
  </si>
  <si>
    <t>E1581</t>
  </si>
  <si>
    <t>E1353</t>
  </si>
  <si>
    <t>08-02-2021</t>
  </si>
  <si>
    <t>E1774</t>
  </si>
  <si>
    <t>02-01-2025</t>
  </si>
  <si>
    <t>13-11-2025</t>
  </si>
  <si>
    <t>E1103</t>
  </si>
  <si>
    <t>03-03-2025</t>
  </si>
  <si>
    <t>E2246</t>
  </si>
  <si>
    <t>08-11-2020</t>
  </si>
  <si>
    <t>E2269</t>
  </si>
  <si>
    <t>09-06-2023</t>
  </si>
  <si>
    <t>E1965</t>
  </si>
  <si>
    <t>06-10-2022</t>
  </si>
  <si>
    <t>E1048</t>
  </si>
  <si>
    <t>18-05-2019</t>
  </si>
  <si>
    <t>E2280</t>
  </si>
  <si>
    <t>E1186</t>
  </si>
  <si>
    <t>16-10-2022</t>
  </si>
  <si>
    <t>E1172</t>
  </si>
  <si>
    <t>12-07-2020</t>
  </si>
  <si>
    <t>E1712</t>
  </si>
  <si>
    <t>02-06-2023</t>
  </si>
  <si>
    <t>E1844</t>
  </si>
  <si>
    <t>13-10-2025</t>
  </si>
  <si>
    <t>E2091</t>
  </si>
  <si>
    <t>25-05-2022</t>
  </si>
  <si>
    <t>E1432</t>
  </si>
  <si>
    <t>03-10-2024</t>
  </si>
  <si>
    <t>18-02-2025</t>
  </si>
  <si>
    <t>E1062</t>
  </si>
  <si>
    <t>05-10-2025</t>
  </si>
  <si>
    <t>E2178</t>
  </si>
  <si>
    <t>06-01-2023</t>
  </si>
  <si>
    <t>E1493</t>
  </si>
  <si>
    <t>27-10-2021</t>
  </si>
  <si>
    <t>E1926</t>
  </si>
  <si>
    <t>03-12-2024</t>
  </si>
  <si>
    <t>E2449</t>
  </si>
  <si>
    <t>03-05-2020</t>
  </si>
  <si>
    <t>E1286</t>
  </si>
  <si>
    <t>02-03-2026</t>
  </si>
  <si>
    <t>E1195</t>
  </si>
  <si>
    <t>20-02-2026</t>
  </si>
  <si>
    <t>17-05-2026</t>
  </si>
  <si>
    <t>E1362</t>
  </si>
  <si>
    <t>14-03-2020</t>
  </si>
  <si>
    <t>E2309</t>
  </si>
  <si>
    <t>13-04-2021</t>
  </si>
  <si>
    <t>E1924</t>
  </si>
  <si>
    <t>E1545</t>
  </si>
  <si>
    <t>23-05-2021</t>
  </si>
  <si>
    <t>E2039</t>
  </si>
  <si>
    <t>30-09-2019</t>
  </si>
  <si>
    <t>26-12-2025</t>
  </si>
  <si>
    <t>E2283</t>
  </si>
  <si>
    <t>01-05-2021</t>
  </si>
  <si>
    <t>24-04-2025</t>
  </si>
  <si>
    <t>E2151</t>
  </si>
  <si>
    <t>31-08-2019</t>
  </si>
  <si>
    <t>E2133</t>
  </si>
  <si>
    <t>18-08-2022</t>
  </si>
  <si>
    <t>E1766</t>
  </si>
  <si>
    <t>09-07-2024</t>
  </si>
  <si>
    <t>E1956</t>
  </si>
  <si>
    <t>12-09-2023</t>
  </si>
  <si>
    <t>E2343</t>
  </si>
  <si>
    <t>30-05-2024</t>
  </si>
  <si>
    <t>E2147</t>
  </si>
  <si>
    <t>SALES</t>
  </si>
  <si>
    <t>21-11-2020</t>
  </si>
  <si>
    <t>E2242</t>
  </si>
  <si>
    <t>06-01-2024</t>
  </si>
  <si>
    <t>E2339</t>
  </si>
  <si>
    <t>16-05-2024</t>
  </si>
  <si>
    <t>E2106</t>
  </si>
  <si>
    <t>07-08-2020</t>
  </si>
  <si>
    <t>E1706</t>
  </si>
  <si>
    <t>12-08-2020</t>
  </si>
  <si>
    <t>E1128</t>
  </si>
  <si>
    <t>26-05-2019</t>
  </si>
  <si>
    <t>E1659</t>
  </si>
  <si>
    <t>E1720</t>
  </si>
  <si>
    <t>14-04-2019</t>
  </si>
  <si>
    <t>E1170</t>
  </si>
  <si>
    <t>05-04-2026</t>
  </si>
  <si>
    <t>E1120</t>
  </si>
  <si>
    <t>17-03-2026</t>
  </si>
  <si>
    <t>16-05-2026</t>
  </si>
  <si>
    <t>E1969</t>
  </si>
  <si>
    <t>31-07-2023</t>
  </si>
  <si>
    <t>E1552</t>
  </si>
  <si>
    <t>22-06-2025</t>
  </si>
  <si>
    <t>E1700</t>
  </si>
  <si>
    <t>03-12-2021</t>
  </si>
  <si>
    <t>E2157</t>
  </si>
  <si>
    <t>20-08-2023</t>
  </si>
  <si>
    <t>E1499</t>
  </si>
  <si>
    <t>17-05-2025</t>
  </si>
  <si>
    <t>E1437</t>
  </si>
  <si>
    <t>25-11-2023</t>
  </si>
  <si>
    <t>E2397</t>
  </si>
  <si>
    <t>02-01-2019</t>
  </si>
  <si>
    <t>E1201</t>
  </si>
  <si>
    <t>E2357</t>
  </si>
  <si>
    <t>29-10-2019</t>
  </si>
  <si>
    <t>E1250</t>
  </si>
  <si>
    <t>E1316</t>
  </si>
  <si>
    <t>16-05-2019</t>
  </si>
  <si>
    <t>E1147</t>
  </si>
  <si>
    <t>18-11-2024</t>
  </si>
  <si>
    <t>05-07-2025</t>
  </si>
  <si>
    <t>E2142</t>
  </si>
  <si>
    <t>08-12-2020</t>
  </si>
  <si>
    <t>E1721</t>
  </si>
  <si>
    <t>28-07-2023</t>
  </si>
  <si>
    <t>E1418</t>
  </si>
  <si>
    <t>10-08-2025</t>
  </si>
  <si>
    <t>E2433</t>
  </si>
  <si>
    <t>25-05-2025</t>
  </si>
  <si>
    <t>E1142</t>
  </si>
  <si>
    <t>30-03-2021</t>
  </si>
  <si>
    <t>E2168</t>
  </si>
  <si>
    <t>31-08-2021</t>
  </si>
  <si>
    <t>E1469</t>
  </si>
  <si>
    <t>04-01-2023</t>
  </si>
  <si>
    <t>22-01-2025</t>
  </si>
  <si>
    <t>E1917</t>
  </si>
  <si>
    <t>22-01-2020</t>
  </si>
  <si>
    <t>E1356</t>
  </si>
  <si>
    <t>04-02-2019</t>
  </si>
  <si>
    <t>27-06-2026</t>
  </si>
  <si>
    <t>E1485</t>
  </si>
  <si>
    <t>06-10-2025</t>
  </si>
  <si>
    <t>E1336</t>
  </si>
  <si>
    <t>24-01-2022</t>
  </si>
  <si>
    <t>E1068</t>
  </si>
  <si>
    <t>04-07-2023</t>
  </si>
  <si>
    <t>E2360</t>
  </si>
  <si>
    <t>07-08-2023</t>
  </si>
  <si>
    <t>E2466</t>
  </si>
  <si>
    <t>20-12-2024</t>
  </si>
  <si>
    <t>E2047</t>
  </si>
  <si>
    <t>23-12-2020</t>
  </si>
  <si>
    <t>E1083</t>
  </si>
  <si>
    <t>05-12-2023</t>
  </si>
  <si>
    <t>E2019</t>
  </si>
  <si>
    <t>11-08-2019</t>
  </si>
  <si>
    <t>E1883</t>
  </si>
  <si>
    <t>10-09-2024</t>
  </si>
  <si>
    <t>E1996</t>
  </si>
  <si>
    <t>16-12-2021</t>
  </si>
  <si>
    <t>E1016</t>
  </si>
  <si>
    <t>20-04-2025</t>
  </si>
  <si>
    <t>E1159</t>
  </si>
  <si>
    <t>E1420</t>
  </si>
  <si>
    <t>03-12-2025</t>
  </si>
  <si>
    <t>E1789</t>
  </si>
  <si>
    <t>03-11-2025</t>
  </si>
  <si>
    <t>E2215</t>
  </si>
  <si>
    <t>06-04-2024</t>
  </si>
  <si>
    <t>E2392</t>
  </si>
  <si>
    <t>29-11-2021</t>
  </si>
  <si>
    <t>E1543</t>
  </si>
  <si>
    <t>28-07-2024</t>
  </si>
  <si>
    <t>E1565</t>
  </si>
  <si>
    <t>E2146</t>
  </si>
  <si>
    <t>09-05-2026</t>
  </si>
  <si>
    <t>10-06-2026</t>
  </si>
  <si>
    <t>E2331</t>
  </si>
  <si>
    <t>02-10-2023</t>
  </si>
  <si>
    <t>E1076</t>
  </si>
  <si>
    <t>15-04-2020</t>
  </si>
  <si>
    <t>17-08-2024</t>
  </si>
  <si>
    <t>E1551</t>
  </si>
  <si>
    <t>E2475</t>
  </si>
  <si>
    <t>01-12-2023</t>
  </si>
  <si>
    <t>E1466</t>
  </si>
  <si>
    <t>20-06-2022</t>
  </si>
  <si>
    <t>E1585</t>
  </si>
  <si>
    <t>21-11-2023</t>
  </si>
  <si>
    <t>E1100</t>
  </si>
  <si>
    <t>29-12-2023</t>
  </si>
  <si>
    <t>20-04-2024</t>
  </si>
  <si>
    <t>E1329</t>
  </si>
  <si>
    <t>27-04-2022</t>
  </si>
  <si>
    <t>E1646</t>
  </si>
  <si>
    <t>09-08-2022</t>
  </si>
  <si>
    <t>E2307</t>
  </si>
  <si>
    <t>31-05-2024</t>
  </si>
  <si>
    <t>E1084</t>
  </si>
  <si>
    <t>20-09-2020</t>
  </si>
  <si>
    <t>E1003</t>
  </si>
  <si>
    <t>23-08-2024</t>
  </si>
  <si>
    <t>E1756</t>
  </si>
  <si>
    <t>08-05-2023</t>
  </si>
  <si>
    <t>E2066</t>
  </si>
  <si>
    <t>26-10-2021</t>
  </si>
  <si>
    <t>E2073</t>
  </si>
  <si>
    <t>01-12-2021</t>
  </si>
  <si>
    <t>E2370</t>
  </si>
  <si>
    <t>18-11-2023</t>
  </si>
  <si>
    <t>E2038</t>
  </si>
  <si>
    <t>01-10-2022</t>
  </si>
  <si>
    <t>E1994</t>
  </si>
  <si>
    <t>22-02-2024</t>
  </si>
  <si>
    <t>E1216</t>
  </si>
  <si>
    <t>31-01-2026</t>
  </si>
  <si>
    <t>E2250</t>
  </si>
  <si>
    <t>09-11-2025</t>
  </si>
  <si>
    <t>E1449</t>
  </si>
  <si>
    <t>16-04-2024</t>
  </si>
  <si>
    <t>E1558</t>
  </si>
  <si>
    <t>06-04-2021</t>
  </si>
  <si>
    <t>E1081</t>
  </si>
  <si>
    <t>31-12-2019</t>
  </si>
  <si>
    <t>E1038</t>
  </si>
  <si>
    <t>17-12-2021</t>
  </si>
  <si>
    <t>E2417</t>
  </si>
  <si>
    <t>07-04-2025</t>
  </si>
  <si>
    <t>E1550</t>
  </si>
  <si>
    <t>29-04-2021</t>
  </si>
  <si>
    <t>E1524</t>
  </si>
  <si>
    <t>25-07-2023</t>
  </si>
  <si>
    <t>E1601</t>
  </si>
  <si>
    <t>21-02-2019</t>
  </si>
  <si>
    <t>E1497</t>
  </si>
  <si>
    <t>12-06-2022</t>
  </si>
  <si>
    <t>E1183</t>
  </si>
  <si>
    <t>09-03-2019</t>
  </si>
  <si>
    <t>E1375</t>
  </si>
  <si>
    <t>20-08-2019</t>
  </si>
  <si>
    <t>E1495</t>
  </si>
  <si>
    <t>18-02-2022</t>
  </si>
  <si>
    <t>E2198</t>
  </si>
  <si>
    <t>E1067</t>
  </si>
  <si>
    <t>07-02-2024</t>
  </si>
  <si>
    <t>E2372</t>
  </si>
  <si>
    <t>19-03-2023</t>
  </si>
  <si>
    <t>E1852</t>
  </si>
  <si>
    <t>05-12-2019</t>
  </si>
  <si>
    <t>E2191</t>
  </si>
  <si>
    <t>21-03-2019</t>
  </si>
  <si>
    <t>E1408</t>
  </si>
  <si>
    <t>02-08-2019</t>
  </si>
  <si>
    <t>E1898</t>
  </si>
  <si>
    <t>26-08-2025</t>
  </si>
  <si>
    <t>E2126</t>
  </si>
  <si>
    <t>10-12-2023</t>
  </si>
  <si>
    <t>E1989</t>
  </si>
  <si>
    <t>20-05-2023</t>
  </si>
  <si>
    <t>18-12-2025</t>
  </si>
  <si>
    <t>E1173</t>
  </si>
  <si>
    <t>17-03-2025</t>
  </si>
  <si>
    <t>E1785</t>
  </si>
  <si>
    <t>E2265</t>
  </si>
  <si>
    <t>05-06-2020</t>
  </si>
  <si>
    <t>E1331</t>
  </si>
  <si>
    <t>30-06-2023</t>
  </si>
  <si>
    <t>E1285</t>
  </si>
  <si>
    <t>15-05-2022</t>
  </si>
  <si>
    <t>E2223</t>
  </si>
  <si>
    <t>25-07-2024</t>
  </si>
  <si>
    <t>E1666</t>
  </si>
  <si>
    <t>03-06-2025</t>
  </si>
  <si>
    <t>E2183</t>
  </si>
  <si>
    <t>24-06-2025</t>
  </si>
  <si>
    <t>E1718</t>
  </si>
  <si>
    <t>E2383</t>
  </si>
  <si>
    <t>13-11-2019</t>
  </si>
  <si>
    <t>09-07-2021</t>
  </si>
  <si>
    <t>E1233</t>
  </si>
  <si>
    <t>28-03-2024</t>
  </si>
  <si>
    <t>E1949</t>
  </si>
  <si>
    <t>14-03-2022</t>
  </si>
  <si>
    <t>E2489</t>
  </si>
  <si>
    <t>23-04-2024</t>
  </si>
  <si>
    <t>E2399</t>
  </si>
  <si>
    <t>E1607</t>
  </si>
  <si>
    <t>08-03-2019</t>
  </si>
  <si>
    <t>E2222</t>
  </si>
  <si>
    <t>04-12-2025</t>
  </si>
  <si>
    <t>27-05-2026</t>
  </si>
  <si>
    <t>E1454</t>
  </si>
  <si>
    <t>21-04-2025</t>
  </si>
  <si>
    <t>E1526</t>
  </si>
  <si>
    <t>06-02-2025</t>
  </si>
  <si>
    <t>E1604</t>
  </si>
  <si>
    <t>10-02-2019</t>
  </si>
  <si>
    <t>E1927</t>
  </si>
  <si>
    <t>09-11-2023</t>
  </si>
  <si>
    <t>02-02-2024</t>
  </si>
  <si>
    <t>E1505</t>
  </si>
  <si>
    <t>07-01-2021</t>
  </si>
  <si>
    <t>E1849</t>
  </si>
  <si>
    <t>10-05-2023</t>
  </si>
  <si>
    <t>E2474</t>
  </si>
  <si>
    <t>18-08-2023</t>
  </si>
  <si>
    <t>E1271</t>
  </si>
  <si>
    <t>E1824</t>
  </si>
  <si>
    <t>24-04-2024</t>
  </si>
  <si>
    <t>E1875</t>
  </si>
  <si>
    <t>22-11-2022</t>
  </si>
  <si>
    <t>E1668</t>
  </si>
  <si>
    <t>03-09-2022</t>
  </si>
  <si>
    <t>E2213</t>
  </si>
  <si>
    <t>E1061</t>
  </si>
  <si>
    <t>22-05-2021</t>
  </si>
  <si>
    <t>E1202</t>
  </si>
  <si>
    <t>12-04-2025</t>
  </si>
  <si>
    <t>E1266</t>
  </si>
  <si>
    <t>11-07-2025</t>
  </si>
  <si>
    <t>E1489</t>
  </si>
  <si>
    <t>02-03-2023</t>
  </si>
  <si>
    <t>E1678</t>
  </si>
  <si>
    <t>18-11-2025</t>
  </si>
  <si>
    <t>E1400</t>
  </si>
  <si>
    <t>04-10-2020</t>
  </si>
  <si>
    <t>E2206</t>
  </si>
  <si>
    <t>29-10-2020</t>
  </si>
  <si>
    <t>E1280</t>
  </si>
  <si>
    <t>05-10-2023</t>
  </si>
  <si>
    <t>E1302</t>
  </si>
  <si>
    <t>04-11-2019</t>
  </si>
  <si>
    <t>E1691</t>
  </si>
  <si>
    <t>08-12-2025</t>
  </si>
  <si>
    <t>E2452</t>
  </si>
  <si>
    <t>31-03-2026</t>
  </si>
  <si>
    <t>15-06-2026</t>
  </si>
  <si>
    <t>E2345</t>
  </si>
  <si>
    <t>E1029</t>
  </si>
  <si>
    <t>17-11-2023</t>
  </si>
  <si>
    <t>E1130</t>
  </si>
  <si>
    <t>E1241</t>
  </si>
  <si>
    <t>11-11-2020</t>
  </si>
  <si>
    <t>E1569</t>
  </si>
  <si>
    <t>10-05-2024</t>
  </si>
  <si>
    <t>E1705</t>
  </si>
  <si>
    <t>22-05-2025</t>
  </si>
  <si>
    <t>E1862</t>
  </si>
  <si>
    <t>06-04-2025</t>
  </si>
  <si>
    <t>E1650</t>
  </si>
  <si>
    <t>06-03-2023</t>
  </si>
  <si>
    <t>E1889</t>
  </si>
  <si>
    <t>10-09-2020</t>
  </si>
  <si>
    <t>E1513</t>
  </si>
  <si>
    <t>25-04-2019</t>
  </si>
  <si>
    <t>E2008</t>
  </si>
  <si>
    <t>18-10-2025</t>
  </si>
  <si>
    <t>E1452</t>
  </si>
  <si>
    <t>11-06-2026</t>
  </si>
  <si>
    <t>E1744</t>
  </si>
  <si>
    <t>14-01-2022</t>
  </si>
  <si>
    <t>E1503</t>
  </si>
  <si>
    <t>09-07-2020</t>
  </si>
  <si>
    <t>E2144</t>
  </si>
  <si>
    <t>E1127</t>
  </si>
  <si>
    <t>10-01-2019</t>
  </si>
  <si>
    <t>E2177</t>
  </si>
  <si>
    <t>13-04-2019</t>
  </si>
  <si>
    <t>E1348</t>
  </si>
  <si>
    <t>11-10-2020</t>
  </si>
  <si>
    <t>E2476</t>
  </si>
  <si>
    <t>23-07-2019</t>
  </si>
  <si>
    <t>28-05-2025</t>
  </si>
  <si>
    <t>E1735</t>
  </si>
  <si>
    <t>E1991</t>
  </si>
  <si>
    <t>E1602</t>
  </si>
  <si>
    <t>13-08-2020</t>
  </si>
  <si>
    <t>19-02-2026</t>
  </si>
  <si>
    <t>E1764</t>
  </si>
  <si>
    <t>E1392</t>
  </si>
  <si>
    <t>09-05-2019</t>
  </si>
  <si>
    <t>30-05-2026</t>
  </si>
  <si>
    <t>E2297</t>
  </si>
  <si>
    <t>28-06-2021</t>
  </si>
  <si>
    <t>E1117</t>
  </si>
  <si>
    <t>17-12-2025</t>
  </si>
  <si>
    <t>E1105</t>
  </si>
  <si>
    <t>26-04-2023</t>
  </si>
  <si>
    <t>E2225</t>
  </si>
  <si>
    <t>05-03-2025</t>
  </si>
  <si>
    <t>E1804</t>
  </si>
  <si>
    <t>E1380</t>
  </si>
  <si>
    <t>20-09-2022</t>
  </si>
  <si>
    <t>04-09-2025</t>
  </si>
  <si>
    <t>E1692</t>
  </si>
  <si>
    <t>07-05-2025</t>
  </si>
  <si>
    <t>E1698</t>
  </si>
  <si>
    <t>29-04-2024</t>
  </si>
  <si>
    <t>E2408</t>
  </si>
  <si>
    <t>13-08-2019</t>
  </si>
  <si>
    <t>E1888</t>
  </si>
  <si>
    <t>07-11-2020</t>
  </si>
  <si>
    <t>E1352</t>
  </si>
  <si>
    <t>15-04-2023</t>
  </si>
  <si>
    <t>E1294</t>
  </si>
  <si>
    <t>E1587</t>
  </si>
  <si>
    <t>E2090</t>
  </si>
  <si>
    <t>29-06-2025</t>
  </si>
  <si>
    <t>E2257</t>
  </si>
  <si>
    <t>09-02-2026</t>
  </si>
  <si>
    <t>E1978</t>
  </si>
  <si>
    <t>16-04-2026</t>
  </si>
  <si>
    <t>E1092</t>
  </si>
  <si>
    <t>03-05-2022</t>
  </si>
  <si>
    <t>E1024</t>
  </si>
  <si>
    <t>E1725</t>
  </si>
  <si>
    <t>18-04-2025</t>
  </si>
  <si>
    <t>E2462</t>
  </si>
  <si>
    <t>15-11-2019</t>
  </si>
  <si>
    <t>E1091</t>
  </si>
  <si>
    <t>13-03-2025</t>
  </si>
  <si>
    <t>E1709</t>
  </si>
  <si>
    <t>19-07-2020</t>
  </si>
  <si>
    <t>22-07-2022</t>
  </si>
  <si>
    <t>E1541</t>
  </si>
  <si>
    <t>09-09-2025</t>
  </si>
  <si>
    <t>E1846</t>
  </si>
  <si>
    <t>E1858</t>
  </si>
  <si>
    <t>21-09-2019</t>
  </si>
  <si>
    <t>E2102</t>
  </si>
  <si>
    <t>07-09-2024</t>
  </si>
  <si>
    <t>E1929</t>
  </si>
  <si>
    <t>13-11-2020</t>
  </si>
  <si>
    <t>13-04-2024</t>
  </si>
  <si>
    <t>E1979</t>
  </si>
  <si>
    <t>E1591</t>
  </si>
  <si>
    <t>07-12-2021</t>
  </si>
  <si>
    <t>E2123</t>
  </si>
  <si>
    <t>07-08-2021</t>
  </si>
  <si>
    <t>E2289</t>
  </si>
  <si>
    <t>02-03-2025</t>
  </si>
  <si>
    <t>E2311</t>
  </si>
  <si>
    <t>30-12-2020</t>
  </si>
  <si>
    <t>E1583</t>
  </si>
  <si>
    <t>17-09-2021</t>
  </si>
  <si>
    <t>E1626</t>
  </si>
  <si>
    <t>19-03-2026</t>
  </si>
  <si>
    <t>E1224</t>
  </si>
  <si>
    <t>06-08-2025</t>
  </si>
  <si>
    <t>E2085</t>
  </si>
  <si>
    <t>E1214</t>
  </si>
  <si>
    <t>11-01-2022</t>
  </si>
  <si>
    <t>E1736</t>
  </si>
  <si>
    <t>12-09-2020</t>
  </si>
  <si>
    <t>E1882</t>
  </si>
  <si>
    <t>06-09-2025</t>
  </si>
  <si>
    <t>E2128</t>
  </si>
  <si>
    <t>10-01-2023</t>
  </si>
  <si>
    <t>E1822</t>
  </si>
  <si>
    <t>14-01-2020</t>
  </si>
  <si>
    <t>23-01-2023</t>
  </si>
  <si>
    <t>E1078</t>
  </si>
  <si>
    <t>E1641</t>
  </si>
  <si>
    <t>30-10-2019</t>
  </si>
  <si>
    <t>E1001</t>
  </si>
  <si>
    <t>23-05-2022</t>
  </si>
  <si>
    <t>17-09-2022</t>
  </si>
  <si>
    <t>E1389</t>
  </si>
  <si>
    <t>02-05-2019</t>
  </si>
  <si>
    <t>E2336</t>
  </si>
  <si>
    <t>03-11-2022</t>
  </si>
  <si>
    <t>E1440</t>
  </si>
  <si>
    <t>27-07-2024</t>
  </si>
  <si>
    <t>E2431</t>
  </si>
  <si>
    <t>31-03-2020</t>
  </si>
  <si>
    <t>E2231</t>
  </si>
  <si>
    <t>27-08-2020</t>
  </si>
  <si>
    <t>E1825</t>
  </si>
  <si>
    <t>22-04-2019</t>
  </si>
  <si>
    <t>E1796</t>
  </si>
  <si>
    <t>23-06-2019</t>
  </si>
  <si>
    <t>E2240</t>
  </si>
  <si>
    <t>E2188</t>
  </si>
  <si>
    <t>E2402</t>
  </si>
  <si>
    <t>E1298</t>
  </si>
  <si>
    <t>21-02-2020</t>
  </si>
  <si>
    <t>E1546</t>
  </si>
  <si>
    <t>11-07-2019</t>
  </si>
  <si>
    <t>23-03-2022</t>
  </si>
  <si>
    <t>E1544</t>
  </si>
  <si>
    <t>12-05-2021</t>
  </si>
  <si>
    <t>E1278</t>
  </si>
  <si>
    <t>08-12-2023</t>
  </si>
  <si>
    <t>E2356</t>
  </si>
  <si>
    <t>14-01-2023</t>
  </si>
  <si>
    <t>18-03-2023</t>
  </si>
  <si>
    <t>E1323</t>
  </si>
  <si>
    <t>18-09-2022</t>
  </si>
  <si>
    <t>E1491</t>
  </si>
  <si>
    <t>14-01-2025</t>
  </si>
  <si>
    <t>E1984</t>
  </si>
  <si>
    <t>29-06-2026</t>
  </si>
  <si>
    <t>E1777</t>
  </si>
  <si>
    <t>16-11-2023</t>
  </si>
  <si>
    <t>E2156</t>
  </si>
  <si>
    <t>28-05-2023</t>
  </si>
  <si>
    <t>E1953</t>
  </si>
  <si>
    <t>13-06-2025</t>
  </si>
  <si>
    <t>E2480</t>
  </si>
  <si>
    <t>05-01-2026</t>
  </si>
  <si>
    <t>E2380</t>
  </si>
  <si>
    <t>02-03-2022</t>
  </si>
  <si>
    <t>E2132</t>
  </si>
  <si>
    <t>15-05-2025</t>
  </si>
  <si>
    <t>E2374</t>
  </si>
  <si>
    <t>21-05-2024</t>
  </si>
  <si>
    <t>E1930</t>
  </si>
  <si>
    <t>11-06-2020</t>
  </si>
  <si>
    <t>E2184</t>
  </si>
  <si>
    <t>E2022</t>
  </si>
  <si>
    <t>07-06-2020</t>
  </si>
  <si>
    <t>E2141</t>
  </si>
  <si>
    <t>18-06-2021</t>
  </si>
  <si>
    <t>E2320</t>
  </si>
  <si>
    <t>18-04-2019</t>
  </si>
  <si>
    <t>16-03-2026</t>
  </si>
  <si>
    <t>E1884</t>
  </si>
  <si>
    <t>23-02-2020</t>
  </si>
  <si>
    <t>E2253</t>
  </si>
  <si>
    <t>07-03-2026</t>
  </si>
  <si>
    <t>E1695</t>
  </si>
  <si>
    <t>07-09-2023</t>
  </si>
  <si>
    <t>E1007</t>
  </si>
  <si>
    <t>18-10-2023</t>
  </si>
  <si>
    <t>E1310</t>
  </si>
  <si>
    <t>07-05-2023</t>
  </si>
  <si>
    <t>E2096</t>
  </si>
  <si>
    <t>23-09-2025</t>
  </si>
  <si>
    <t>E2337</t>
  </si>
  <si>
    <t>30-08-2023</t>
  </si>
  <si>
    <t>E1282</t>
  </si>
  <si>
    <t>09-02-2022</t>
  </si>
  <si>
    <t>25-02-2025</t>
  </si>
  <si>
    <t>E2221</t>
  </si>
  <si>
    <t>30-06-2020</t>
  </si>
  <si>
    <t>E2137</t>
  </si>
  <si>
    <t>E1149</t>
  </si>
  <si>
    <t>E1398</t>
  </si>
  <si>
    <t>E1612</t>
  </si>
  <si>
    <t>08-04-2025</t>
  </si>
  <si>
    <t>E1328</t>
  </si>
  <si>
    <t>17-02-2024</t>
  </si>
  <si>
    <t>15-12-2025</t>
  </si>
  <si>
    <t>E1487</t>
  </si>
  <si>
    <t>14-03-2025</t>
  </si>
  <si>
    <t>E1578</t>
  </si>
  <si>
    <t>22-03-2020</t>
  </si>
  <si>
    <t>E1970</t>
  </si>
  <si>
    <t>30-12-2025</t>
  </si>
  <si>
    <t>E1523</t>
  </si>
  <si>
    <t>19-09-2022</t>
  </si>
  <si>
    <t>E2219</t>
  </si>
  <si>
    <t>21-06-2024</t>
  </si>
  <si>
    <t>E1613</t>
  </si>
  <si>
    <t>E1272</t>
  </si>
  <si>
    <t>03-05-2025</t>
  </si>
  <si>
    <t>E1845</t>
  </si>
  <si>
    <t>E1599</t>
  </si>
  <si>
    <t>18-11-2020</t>
  </si>
  <si>
    <t>E1087</t>
  </si>
  <si>
    <t>02-09-2019</t>
  </si>
  <si>
    <t>E1165</t>
  </si>
  <si>
    <t>10-05-2026</t>
  </si>
  <si>
    <t>E2301</t>
  </si>
  <si>
    <t>03-04-2019</t>
  </si>
  <si>
    <t>19-04-2023</t>
  </si>
  <si>
    <t>E1620</t>
  </si>
  <si>
    <t>03-05-2019</t>
  </si>
  <si>
    <t>13-07-2024</t>
  </si>
  <si>
    <t>E1556</t>
  </si>
  <si>
    <t>18-03-2024</t>
  </si>
  <si>
    <t>E1194</t>
  </si>
  <si>
    <t>03-10-2025</t>
  </si>
  <si>
    <t>E1327</t>
  </si>
  <si>
    <t>24-03-2024</t>
  </si>
  <si>
    <t>E1344</t>
  </si>
  <si>
    <t>30-07-2021</t>
  </si>
  <si>
    <t>E1109</t>
  </si>
  <si>
    <t>03-11-2019</t>
  </si>
  <si>
    <t>E1156</t>
  </si>
  <si>
    <t>10-11-2019</t>
  </si>
  <si>
    <t>12-02-2026</t>
  </si>
  <si>
    <t>E1531</t>
  </si>
  <si>
    <t>24-02-2022</t>
  </si>
  <si>
    <t>E2202</t>
  </si>
  <si>
    <t>12-04-2026</t>
  </si>
  <si>
    <t>E1376</t>
  </si>
  <si>
    <t>21-12-2024</t>
  </si>
  <si>
    <t>E2359</t>
  </si>
  <si>
    <t>11-11-2023</t>
  </si>
  <si>
    <t>E1745</t>
  </si>
  <si>
    <t>E1481</t>
  </si>
  <si>
    <t>E1693</t>
  </si>
  <si>
    <t>07-07-2022</t>
  </si>
  <si>
    <t>E1683</t>
  </si>
  <si>
    <t>27-01-2023</t>
  </si>
  <si>
    <t>E2080</t>
  </si>
  <si>
    <t>E2428</t>
  </si>
  <si>
    <t>17-12-2020</t>
  </si>
  <si>
    <t>E2274</t>
  </si>
  <si>
    <t>12-12-2019</t>
  </si>
  <si>
    <t>E1472</t>
  </si>
  <si>
    <t>08-03-2026</t>
  </si>
  <si>
    <t>E2394</t>
  </si>
  <si>
    <t>08-07-2020</t>
  </si>
  <si>
    <t>E1017</t>
  </si>
  <si>
    <t>14-12-2022</t>
  </si>
  <si>
    <t>E1740</t>
  </si>
  <si>
    <t>21-02-2022</t>
  </si>
  <si>
    <t>E2361</t>
  </si>
  <si>
    <t>27-07-2020</t>
  </si>
  <si>
    <t>E1135</t>
  </si>
  <si>
    <t>31-12-2025</t>
  </si>
  <si>
    <t>E1002</t>
  </si>
  <si>
    <t>22-01-2019</t>
  </si>
  <si>
    <t>09-06-2020</t>
  </si>
  <si>
    <t>E1438</t>
  </si>
  <si>
    <t>22-09-2025</t>
  </si>
  <si>
    <t>E2000</t>
  </si>
  <si>
    <t>05-10-2021</t>
  </si>
  <si>
    <t>E1320</t>
  </si>
  <si>
    <t>20-04-2021</t>
  </si>
  <si>
    <t>E1964</t>
  </si>
  <si>
    <t>E1887</t>
  </si>
  <si>
    <t>12-08-2022</t>
  </si>
  <si>
    <t>E2276</t>
  </si>
  <si>
    <t>06-01-2026</t>
  </si>
  <si>
    <t>E2419</t>
  </si>
  <si>
    <t>14-07-2022</t>
  </si>
  <si>
    <t>E1322</t>
  </si>
  <si>
    <t>E1568</t>
  </si>
  <si>
    <t>19-02-2023</t>
  </si>
  <si>
    <t>E1871</t>
  </si>
  <si>
    <t>24-09-2024</t>
  </si>
  <si>
    <t>E1252</t>
  </si>
  <si>
    <t>26-09-2022</t>
  </si>
  <si>
    <t>E1867</t>
  </si>
  <si>
    <t>09-01-2024</t>
  </si>
  <si>
    <t>E2087</t>
  </si>
  <si>
    <t>16-06-2023</t>
  </si>
  <si>
    <t>E2347</t>
  </si>
  <si>
    <t>21-09-2024</t>
  </si>
  <si>
    <t>E1063</t>
  </si>
  <si>
    <t>17-04-2022</t>
  </si>
  <si>
    <t>E1968</t>
  </si>
  <si>
    <t>25-09-2023</t>
  </si>
  <si>
    <t>E1090</t>
  </si>
  <si>
    <t>OTHERS</t>
  </si>
  <si>
    <t>E2456</t>
  </si>
  <si>
    <t>24-10-2019</t>
  </si>
  <si>
    <t>E1696</t>
  </si>
  <si>
    <t>23-12-2023</t>
  </si>
  <si>
    <t>E1157</t>
  </si>
  <si>
    <t>19-12-2024</t>
  </si>
  <si>
    <t>E1442</t>
  </si>
  <si>
    <t>21-11-2019</t>
  </si>
  <si>
    <t>E2260</t>
  </si>
  <si>
    <t>17-04-2020</t>
  </si>
  <si>
    <t>E2325</t>
  </si>
  <si>
    <t>24-11-2020</t>
  </si>
  <si>
    <t>E1415</t>
  </si>
  <si>
    <t>07-03-2025</t>
  </si>
  <si>
    <t>E1997</t>
  </si>
  <si>
    <t>23-03-2025</t>
  </si>
  <si>
    <t>E1553</t>
  </si>
  <si>
    <t>31-07-2025</t>
  </si>
  <si>
    <t>E1512</t>
  </si>
  <si>
    <t>E2386</t>
  </si>
  <si>
    <t>E1522</t>
  </si>
  <si>
    <t>19-07-2024</t>
  </si>
  <si>
    <t>E2145</t>
  </si>
  <si>
    <t>15-03-2020</t>
  </si>
  <si>
    <t>28-03-2023</t>
  </si>
  <si>
    <t>E2287</t>
  </si>
  <si>
    <t>E1716</t>
  </si>
  <si>
    <t>04-03-2021</t>
  </si>
  <si>
    <t>E1474</t>
  </si>
  <si>
    <t>07-09-2020</t>
  </si>
  <si>
    <t>15-04-2022</t>
  </si>
  <si>
    <t>E2032</t>
  </si>
  <si>
    <t>23-06-2026</t>
  </si>
  <si>
    <t>E1737</t>
  </si>
  <si>
    <t>10-09-2019</t>
  </si>
  <si>
    <t>E2281</t>
  </si>
  <si>
    <t>19-06-2020</t>
  </si>
  <si>
    <t>E1181</t>
  </si>
  <si>
    <t>24-03-2019</t>
  </si>
  <si>
    <t>E2368</t>
  </si>
  <si>
    <t>08-04-2022</t>
  </si>
  <si>
    <t>E2465</t>
  </si>
  <si>
    <t>06-11-2025</t>
  </si>
  <si>
    <t>E2363</t>
  </si>
  <si>
    <t>12-01-2020</t>
  </si>
  <si>
    <t>31-03-2021</t>
  </si>
  <si>
    <t>E1402</t>
  </si>
  <si>
    <t>28-10-2019</t>
  </si>
  <si>
    <t>E1788</t>
  </si>
  <si>
    <t>25-10-2023</t>
  </si>
  <si>
    <t>E1346</t>
  </si>
  <si>
    <t>12-10-2025</t>
  </si>
  <si>
    <t>E1746</t>
  </si>
  <si>
    <t>25-03-2019</t>
  </si>
  <si>
    <t>E1251</t>
  </si>
  <si>
    <t>12-01-2023</t>
  </si>
  <si>
    <t>06-02-2026</t>
  </si>
  <si>
    <t>E1296</t>
  </si>
  <si>
    <t>01-03-2023</t>
  </si>
  <si>
    <t>E2322</t>
  </si>
  <si>
    <t>03-02-2022</t>
  </si>
  <si>
    <t>E1954</t>
  </si>
  <si>
    <t>18-10-2021</t>
  </si>
  <si>
    <t>E1827</t>
  </si>
  <si>
    <t>05-02-2025</t>
  </si>
  <si>
    <t>E1263</t>
  </si>
  <si>
    <t>19-01-2019</t>
  </si>
  <si>
    <t>E1121</t>
  </si>
  <si>
    <t>29-09-2022</t>
  </si>
  <si>
    <t>E2448</t>
  </si>
  <si>
    <t>18-03-2022</t>
  </si>
  <si>
    <t>E2273</t>
  </si>
  <si>
    <t>26-08-2024</t>
  </si>
  <si>
    <t>E1220</t>
  </si>
  <si>
    <t>20-06-2019</t>
  </si>
  <si>
    <t>E1268</t>
  </si>
  <si>
    <t>17-02-2026</t>
  </si>
  <si>
    <t>E1369</t>
  </si>
  <si>
    <t>E1193</t>
  </si>
  <si>
    <t>01-04-2025</t>
  </si>
  <si>
    <t>E1291</t>
  </si>
  <si>
    <t>02-01-2023</t>
  </si>
  <si>
    <t>E1987</t>
  </si>
  <si>
    <t>E2375</t>
  </si>
  <si>
    <t>E2069</t>
  </si>
  <si>
    <t>05-09-2025</t>
  </si>
  <si>
    <t>E2385</t>
  </si>
  <si>
    <t>19-05-2025</t>
  </si>
  <si>
    <t>E1547</t>
  </si>
  <si>
    <t>05-02-2026</t>
  </si>
  <si>
    <t>E1075</t>
  </si>
  <si>
    <t>24-06-2024</t>
  </si>
  <si>
    <t>E2217</t>
  </si>
  <si>
    <t>E2440</t>
  </si>
  <si>
    <t>09-12-2023</t>
  </si>
  <si>
    <t>E1253</t>
  </si>
  <si>
    <t>25-02-2023</t>
  </si>
  <si>
    <t>29-03-2024</t>
  </si>
  <si>
    <t>E1433</t>
  </si>
  <si>
    <t>E1863</t>
  </si>
  <si>
    <t>27-09-2022</t>
  </si>
  <si>
    <t>E1597</t>
  </si>
  <si>
    <t>E2409</t>
  </si>
  <si>
    <t>17-01-2023</t>
  </si>
  <si>
    <t>E1012</t>
  </si>
  <si>
    <t>25-06-2023</t>
  </si>
  <si>
    <t>E2182</t>
  </si>
  <si>
    <t>E1655</t>
  </si>
  <si>
    <t>08-07-2023</t>
  </si>
  <si>
    <t>E1961</t>
  </si>
  <si>
    <t>11-09-2019</t>
  </si>
  <si>
    <t>E1972</t>
  </si>
  <si>
    <t>08-01-2020</t>
  </si>
  <si>
    <t>E1210</t>
  </si>
  <si>
    <t>E1762</t>
  </si>
  <si>
    <t>27-06-2024</t>
  </si>
  <si>
    <t>E2172</t>
  </si>
  <si>
    <t>E2323</t>
  </si>
  <si>
    <t>17-07-2020</t>
  </si>
  <si>
    <t>E1180</t>
  </si>
  <si>
    <t>22-05-2019</t>
  </si>
  <si>
    <t>E2037</t>
  </si>
  <si>
    <t>16-05-2023</t>
  </si>
  <si>
    <t>E1514</t>
  </si>
  <si>
    <t>03-04-2021</t>
  </si>
  <si>
    <t>E1313</t>
  </si>
  <si>
    <t>11-01-2023</t>
  </si>
  <si>
    <t>E1441</t>
  </si>
  <si>
    <t>11-03-2025</t>
  </si>
  <si>
    <t>E1622</t>
  </si>
  <si>
    <t>E1161</t>
  </si>
  <si>
    <t>16-03-2019</t>
  </si>
  <si>
    <t>E2412</t>
  </si>
  <si>
    <t>16-11-2020</t>
  </si>
  <si>
    <t>E1377</t>
  </si>
  <si>
    <t>E1206</t>
  </si>
  <si>
    <t>04-10-2019</t>
  </si>
  <si>
    <t>E1289</t>
  </si>
  <si>
    <t>E1057</t>
  </si>
  <si>
    <t>E1685</t>
  </si>
  <si>
    <t>10-02-2023</t>
  </si>
  <si>
    <t>13-08-2023</t>
  </si>
  <si>
    <t>E1385</t>
  </si>
  <si>
    <t>20-05-2025</t>
  </si>
  <si>
    <t>E1501</t>
  </si>
  <si>
    <t>E1910</t>
  </si>
  <si>
    <t>10-08-2022</t>
  </si>
  <si>
    <t>E1830</t>
  </si>
  <si>
    <t>31-01-2020</t>
  </si>
  <si>
    <t>E1232</t>
  </si>
  <si>
    <t>01-10-2019</t>
  </si>
  <si>
    <t>E2261</t>
  </si>
  <si>
    <t>28-06-2019</t>
  </si>
  <si>
    <t>E1426</t>
  </si>
  <si>
    <t>17-08-2021</t>
  </si>
  <si>
    <t>E2204</t>
  </si>
  <si>
    <t>E1311</t>
  </si>
  <si>
    <t>14-12-2023</t>
  </si>
  <si>
    <t>E1590</t>
  </si>
  <si>
    <t>25-03-2021</t>
  </si>
  <si>
    <t>E1238</t>
  </si>
  <si>
    <t>10-05-2020</t>
  </si>
  <si>
    <t>E1237</t>
  </si>
  <si>
    <t>10-06-2024</t>
  </si>
  <si>
    <t>E1427</t>
  </si>
  <si>
    <t>E2358</t>
  </si>
  <si>
    <t>13-09-2019</t>
  </si>
  <si>
    <t>E2342</t>
  </si>
  <si>
    <t>30-10-2022</t>
  </si>
  <si>
    <t>E1582</t>
  </si>
  <si>
    <t>13-01-2019</t>
  </si>
  <si>
    <t>E2124</t>
  </si>
  <si>
    <t>26-12-2024</t>
  </si>
  <si>
    <t>E1176</t>
  </si>
  <si>
    <t>03-06-2022</t>
  </si>
  <si>
    <t>E2284</t>
  </si>
  <si>
    <t>02-03-2021</t>
  </si>
  <si>
    <t>E1793</t>
  </si>
  <si>
    <t>11-10-2021</t>
  </si>
  <si>
    <t>E1946</t>
  </si>
  <si>
    <t>28-03-2026</t>
  </si>
  <si>
    <t>E1457</t>
  </si>
  <si>
    <t>16-02-2020</t>
  </si>
  <si>
    <t>E1791</t>
  </si>
  <si>
    <t>28-01-2020</t>
  </si>
  <si>
    <t>E2493</t>
  </si>
  <si>
    <t>E2165</t>
  </si>
  <si>
    <t>E2451</t>
  </si>
  <si>
    <t>02-11-2021</t>
  </si>
  <si>
    <t>E1318</t>
  </si>
  <si>
    <t>15-10-2019</t>
  </si>
  <si>
    <t>E1775</t>
  </si>
  <si>
    <t>12-02-2020</t>
  </si>
  <si>
    <t>E1955</t>
  </si>
  <si>
    <t>10-07-2025</t>
  </si>
  <si>
    <t>E1672</t>
  </si>
  <si>
    <t>20-06-2026</t>
  </si>
  <si>
    <t>E1986</t>
  </si>
  <si>
    <t>02-07-2024</t>
  </si>
  <si>
    <t>E1153</t>
  </si>
  <si>
    <t>01-08-2019</t>
  </si>
  <si>
    <t>E1559</t>
  </si>
  <si>
    <t>09-06-2024</t>
  </si>
  <si>
    <t>E2234</t>
  </si>
  <si>
    <t>09-04-2021</t>
  </si>
  <si>
    <t>E2367</t>
  </si>
  <si>
    <t>11-12-2020</t>
  </si>
  <si>
    <t>E2469</t>
  </si>
  <si>
    <t>19-06-2026</t>
  </si>
  <si>
    <t>E1947</t>
  </si>
  <si>
    <t>21-01-2019</t>
  </si>
  <si>
    <t>E2272</t>
  </si>
  <si>
    <t>19-08-2020</t>
  </si>
  <si>
    <t>E2365</t>
  </si>
  <si>
    <t>23-02-2023</t>
  </si>
  <si>
    <t>E1753</t>
  </si>
  <si>
    <t>09-08-2021</t>
  </si>
  <si>
    <t>E1800</t>
  </si>
  <si>
    <t>15-02-2020</t>
  </si>
  <si>
    <t>E2349</t>
  </si>
  <si>
    <t>26-05-2023</t>
  </si>
  <si>
    <t>E1575</t>
  </si>
  <si>
    <t>16-10-2021</t>
  </si>
  <si>
    <t>E2306</t>
  </si>
  <si>
    <t>12-03-2022</t>
  </si>
  <si>
    <t>28-05-2024</t>
  </si>
  <si>
    <t>E1265</t>
  </si>
  <si>
    <t>12-06-2020</t>
  </si>
  <si>
    <t>E1292</t>
  </si>
  <si>
    <t>05-08-2024</t>
  </si>
  <si>
    <t>E2291</t>
  </si>
  <si>
    <t>26-01-2026</t>
  </si>
  <si>
    <t>E1600</t>
  </si>
  <si>
    <t>E1950</t>
  </si>
  <si>
    <t>E1155</t>
  </si>
  <si>
    <t>30-01-2024</t>
  </si>
  <si>
    <t>E1931</t>
  </si>
  <si>
    <t>E1023</t>
  </si>
  <si>
    <t>05-02-2019</t>
  </si>
  <si>
    <t>E1836</t>
  </si>
  <si>
    <t>19-06-2025</t>
  </si>
  <si>
    <t>E2414</t>
  </si>
  <si>
    <t>28-02-2022</t>
  </si>
  <si>
    <t>E2115</t>
  </si>
  <si>
    <t>20-03-2023</t>
  </si>
  <si>
    <t>E1992</t>
  </si>
  <si>
    <t>22-07-2025</t>
  </si>
  <si>
    <t>E2136</t>
  </si>
  <si>
    <t>17-12-2024</t>
  </si>
  <si>
    <t>E2404</t>
  </si>
  <si>
    <t>E2112</t>
  </si>
  <si>
    <t>13-03-2021</t>
  </si>
  <si>
    <t>E1259</t>
  </si>
  <si>
    <t>09-01-2025</t>
  </si>
  <si>
    <t>E1228</t>
  </si>
  <si>
    <t>E1317</t>
  </si>
  <si>
    <t>05-05-2022</t>
  </si>
  <si>
    <t>E2425</t>
  </si>
  <si>
    <t>01-11-2024</t>
  </si>
  <si>
    <t>E1108</t>
  </si>
  <si>
    <t>19-03-2021</t>
  </si>
  <si>
    <t>E2379</t>
  </si>
  <si>
    <t>24-01-2025</t>
  </si>
  <si>
    <t>E2154</t>
  </si>
  <si>
    <t>E1428</t>
  </si>
  <si>
    <t>11-10-2025</t>
  </si>
  <si>
    <t>13-12-2025</t>
  </si>
  <si>
    <t>E1086</t>
  </si>
  <si>
    <t>07-05-2020</t>
  </si>
  <si>
    <t>E2029</t>
  </si>
  <si>
    <t>04-08-2025</t>
  </si>
  <si>
    <t>E1838</t>
  </si>
  <si>
    <t>18-07-2023</t>
  </si>
  <si>
    <t>16-04-2025</t>
  </si>
  <si>
    <t>E2041</t>
  </si>
  <si>
    <t>24-08-2020</t>
  </si>
  <si>
    <t>E1593</t>
  </si>
  <si>
    <t>E1611</t>
  </si>
  <si>
    <t>16-06-2019</t>
  </si>
  <si>
    <t>E2490</t>
  </si>
  <si>
    <t>27-03-2025</t>
  </si>
  <si>
    <t>E1525</t>
  </si>
  <si>
    <t>02-02-2025</t>
  </si>
  <si>
    <t>E1031</t>
  </si>
  <si>
    <t>12-01-2019</t>
  </si>
  <si>
    <t>E1011</t>
  </si>
  <si>
    <t>14-11-2019</t>
  </si>
  <si>
    <t>E1933</t>
  </si>
  <si>
    <t>27-07-2025</t>
  </si>
  <si>
    <t>E1439</t>
  </si>
  <si>
    <t>E1343</t>
  </si>
  <si>
    <t>12-07-2021</t>
  </si>
  <si>
    <t>E1711</t>
  </si>
  <si>
    <t>06-07-2023</t>
  </si>
  <si>
    <t>E2252</t>
  </si>
  <si>
    <t>30-11-2024</t>
  </si>
  <si>
    <t>06-01-2025</t>
  </si>
  <si>
    <t>E1459</t>
  </si>
  <si>
    <t>14-09-2023</t>
  </si>
  <si>
    <t>E2494</t>
  </si>
  <si>
    <t>E1670</t>
  </si>
  <si>
    <t>E2121</t>
  </si>
  <si>
    <t>11-04-2025</t>
  </si>
  <si>
    <t>E1126</t>
  </si>
  <si>
    <t>20-03-2020</t>
  </si>
  <si>
    <t>E1258</t>
  </si>
  <si>
    <t>E2185</t>
  </si>
  <si>
    <t>03-01-2022</t>
  </si>
  <si>
    <t>23-06-2022</t>
  </si>
  <si>
    <t>E1835</t>
  </si>
  <si>
    <t>E1314</t>
  </si>
  <si>
    <t>24-06-2023</t>
  </si>
  <si>
    <t>E2299</t>
  </si>
  <si>
    <t>31-08-2022</t>
  </si>
  <si>
    <t>E2054</t>
  </si>
  <si>
    <t>E1005</t>
  </si>
  <si>
    <t>29-06-2022</t>
  </si>
  <si>
    <t>E2057</t>
  </si>
  <si>
    <t>E1199</t>
  </si>
  <si>
    <t>25-07-2022</t>
  </si>
  <si>
    <t>E1629</t>
  </si>
  <si>
    <t>E1410</t>
  </si>
  <si>
    <t>02-04-2025</t>
  </si>
  <si>
    <t>E2247</t>
  </si>
  <si>
    <t>E1717</t>
  </si>
  <si>
    <t>24-07-2020</t>
  </si>
  <si>
    <t>E2354</t>
  </si>
  <si>
    <t>E1175</t>
  </si>
  <si>
    <t>18-07-2021</t>
  </si>
  <si>
    <t>E2268</t>
  </si>
  <si>
    <t>12-12-2022</t>
  </si>
  <si>
    <t>02-08-2024</t>
  </si>
  <si>
    <t>E2092</t>
  </si>
  <si>
    <t>E1470</t>
  </si>
  <si>
    <t>05-04-2020</t>
  </si>
  <si>
    <t>E1203</t>
  </si>
  <si>
    <t>04-08-2020</t>
  </si>
  <si>
    <t>E1944</t>
  </si>
  <si>
    <t>17-03-2022</t>
  </si>
  <si>
    <t>E1596</t>
  </si>
  <si>
    <t>27-05-2019</t>
  </si>
  <si>
    <t>E1632</t>
  </si>
  <si>
    <t>02-09-2024</t>
  </si>
  <si>
    <t>E1178</t>
  </si>
  <si>
    <t>05-06-2019</t>
  </si>
  <si>
    <t>E1276</t>
  </si>
  <si>
    <t>18-03-2019</t>
  </si>
  <si>
    <t>E1881</t>
  </si>
  <si>
    <t>04-12-2024</t>
  </si>
  <si>
    <t>E1413</t>
  </si>
  <si>
    <t>09-12-2019</t>
  </si>
  <si>
    <t>E1014</t>
  </si>
  <si>
    <t>31-08-2020</t>
  </si>
  <si>
    <t>E1484</t>
  </si>
  <si>
    <t>E2453</t>
  </si>
  <si>
    <t>04-03-2025</t>
  </si>
  <si>
    <t>14-07-2025</t>
  </si>
  <si>
    <t>E2442</t>
  </si>
  <si>
    <t>E1476</t>
  </si>
  <si>
    <t>01-03-2021</t>
  </si>
  <si>
    <t>E1886</t>
  </si>
  <si>
    <t>E1539</t>
  </si>
  <si>
    <t>11-05-2022</t>
  </si>
  <si>
    <t>E1616</t>
  </si>
  <si>
    <t>18-04-2023</t>
  </si>
  <si>
    <t>E1957</t>
  </si>
  <si>
    <t>E1118</t>
  </si>
  <si>
    <t>09-06-2026</t>
  </si>
  <si>
    <t>E1537</t>
  </si>
  <si>
    <t>29-09-2024</t>
  </si>
  <si>
    <t>E2116</t>
  </si>
  <si>
    <t>04-06-2022</t>
  </si>
  <si>
    <t>08-02-2025</t>
  </si>
  <si>
    <t>E2117</t>
  </si>
  <si>
    <t>12-11-2025</t>
  </si>
  <si>
    <t>E1642</t>
  </si>
  <si>
    <t>06-02-2024</t>
  </si>
  <si>
    <t>E1603</t>
  </si>
  <si>
    <t>E2196</t>
  </si>
  <si>
    <t>09-09-2022</t>
  </si>
  <si>
    <t>E2175</t>
  </si>
  <si>
    <t>14-03-2023</t>
  </si>
  <si>
    <t>E2473</t>
  </si>
  <si>
    <t>07-06-2019</t>
  </si>
  <si>
    <t>E1164</t>
  </si>
  <si>
    <t>27-09-2019</t>
  </si>
  <si>
    <t>E1112</t>
  </si>
  <si>
    <t>22-04-2020</t>
  </si>
  <si>
    <t>E1345</t>
  </si>
  <si>
    <t>11-07-2023</t>
  </si>
  <si>
    <t>E2176</t>
  </si>
  <si>
    <t>27-05-2021</t>
  </si>
  <si>
    <t>E2064</t>
  </si>
  <si>
    <t>E1483</t>
  </si>
  <si>
    <t>31-12-2022</t>
  </si>
  <si>
    <t>E2318</t>
  </si>
  <si>
    <t>E1945</t>
  </si>
  <si>
    <t>10-04-2026</t>
  </si>
  <si>
    <t>E1131</t>
  </si>
  <si>
    <t>E2279</t>
  </si>
  <si>
    <t>26-07-2023</t>
  </si>
  <si>
    <t>E2286</t>
  </si>
  <si>
    <t>08-03-2024</t>
  </si>
  <si>
    <t>E1339</t>
  </si>
  <si>
    <t>27-05-2025</t>
  </si>
  <si>
    <t>E1932</t>
  </si>
  <si>
    <t>04-05-2022</t>
  </si>
  <si>
    <t>E2266</t>
  </si>
  <si>
    <t>29-07-2025</t>
  </si>
  <si>
    <t>E1073</t>
  </si>
  <si>
    <t>E1515</t>
  </si>
  <si>
    <t>E1942</t>
  </si>
  <si>
    <t>01-01-2025</t>
  </si>
  <si>
    <t>E1516</t>
  </si>
  <si>
    <t>E2208</t>
  </si>
  <si>
    <t>14-09-2021</t>
  </si>
  <si>
    <t>E1379</t>
  </si>
  <si>
    <t>13-11-2022</t>
  </si>
  <si>
    <t>E1013</t>
  </si>
  <si>
    <t>E1448</t>
  </si>
  <si>
    <t>04-04-2022</t>
  </si>
  <si>
    <t>E1958</t>
  </si>
  <si>
    <t>11-02-2025</t>
  </si>
  <si>
    <t>E1209</t>
  </si>
  <si>
    <t>11-06-2019</t>
  </si>
  <si>
    <t>E1304</t>
  </si>
  <si>
    <t>01-01-2026</t>
  </si>
  <si>
    <t>13-04-2026</t>
  </si>
  <si>
    <t>E1577</t>
  </si>
  <si>
    <t>15-04-2019</t>
  </si>
  <si>
    <t>E1621</t>
  </si>
  <si>
    <t>25-06-2020</t>
  </si>
  <si>
    <t>E1916</t>
  </si>
  <si>
    <t>E2055</t>
  </si>
  <si>
    <t>E1566</t>
  </si>
  <si>
    <t>E2366</t>
  </si>
  <si>
    <t>27-01-2020</t>
  </si>
  <si>
    <t>E1694</t>
  </si>
  <si>
    <t>05-11-2025</t>
  </si>
  <si>
    <t>E2098</t>
  </si>
  <si>
    <t>14-06-2022</t>
  </si>
  <si>
    <t>E1912</t>
  </si>
  <si>
    <t>04-05-2023</t>
  </si>
  <si>
    <t>E1645</t>
  </si>
  <si>
    <t>E1341</t>
  </si>
  <si>
    <t>19-07-2022</t>
  </si>
  <si>
    <t>E2430</t>
  </si>
  <si>
    <t>16-08-2021</t>
  </si>
  <si>
    <t>E1347</t>
  </si>
  <si>
    <t>E2423</t>
  </si>
  <si>
    <t>23-07-2020</t>
  </si>
  <si>
    <t>E2310</t>
  </si>
  <si>
    <t>E1305</t>
  </si>
  <si>
    <t>26-07-2025</t>
  </si>
  <si>
    <t>E1037</t>
  </si>
  <si>
    <t>25-05-2020</t>
  </si>
  <si>
    <t>E1812</t>
  </si>
  <si>
    <t>E1043</t>
  </si>
  <si>
    <t>E1923</t>
  </si>
  <si>
    <t>07-07-2023</t>
  </si>
  <si>
    <t>E1395</t>
  </si>
  <si>
    <t>25-02-2019</t>
  </si>
  <si>
    <t>E1879</t>
  </si>
  <si>
    <t>11-07-2024</t>
  </si>
  <si>
    <t>E2095</t>
  </si>
  <si>
    <t>13-07-2023</t>
  </si>
  <si>
    <t>E2333</t>
  </si>
  <si>
    <t>29-01-2019</t>
  </si>
  <si>
    <t>E1734</t>
  </si>
  <si>
    <t>28-04-2019</t>
  </si>
  <si>
    <t>E1460</t>
  </si>
  <si>
    <t>08-04-2026</t>
  </si>
  <si>
    <t>E1708</t>
  </si>
  <si>
    <t>06-04-2023</t>
  </si>
  <si>
    <t>E1424</t>
  </si>
  <si>
    <t>12-08-2025</t>
  </si>
  <si>
    <t>E2481</t>
  </si>
  <si>
    <t>E1918</t>
  </si>
  <si>
    <t>20-11-2025</t>
  </si>
  <si>
    <t>E1880</t>
  </si>
  <si>
    <t>E1295</t>
  </si>
  <si>
    <t>03-12-2019</t>
  </si>
  <si>
    <t>26-04-2021</t>
  </si>
  <si>
    <t>E1586</t>
  </si>
  <si>
    <t>29-05-2022</t>
  </si>
  <si>
    <t>E1027</t>
  </si>
  <si>
    <t>E1681</t>
  </si>
  <si>
    <t>14-12-2025</t>
  </si>
  <si>
    <t>E2044</t>
  </si>
  <si>
    <t>11-03-2024</t>
  </si>
  <si>
    <t>E2134</t>
  </si>
  <si>
    <t>28-05-2021</t>
  </si>
  <si>
    <t>E1136</t>
  </si>
  <si>
    <t>19-09-2019</t>
  </si>
  <si>
    <t>E1511</t>
  </si>
  <si>
    <t>13-11-2023</t>
  </si>
  <si>
    <t>E1211</t>
  </si>
  <si>
    <t>19-01-2023</t>
  </si>
  <si>
    <t>E2024</t>
  </si>
  <si>
    <t>08-08-2019</t>
  </si>
  <si>
    <t>E1354</t>
  </si>
  <si>
    <t>06-04-2026</t>
  </si>
  <si>
    <t>07-05-2026</t>
  </si>
  <si>
    <t>E2187</t>
  </si>
  <si>
    <t>21-12-2021</t>
  </si>
  <si>
    <t>E2245</t>
  </si>
  <si>
    <t>21-08-2022</t>
  </si>
  <si>
    <t>E1853</t>
  </si>
  <si>
    <t>E1056</t>
  </si>
  <si>
    <t>19-06-2023</t>
  </si>
  <si>
    <t>15-08-2025</t>
  </si>
  <si>
    <t>E1464</t>
  </si>
  <si>
    <t>E2418</t>
  </si>
  <si>
    <t>01-02-2020</t>
  </si>
  <si>
    <t>E2439</t>
  </si>
  <si>
    <t>26-03-2021</t>
  </si>
  <si>
    <t>E1857</t>
  </si>
  <si>
    <t>07-12-2022</t>
  </si>
  <si>
    <t>E1217</t>
  </si>
  <si>
    <t>25-11-2019</t>
  </si>
  <si>
    <t>E2329</t>
  </si>
  <si>
    <t>12-01-2025</t>
  </si>
  <si>
    <t>E1041</t>
  </si>
  <si>
    <t>28-10-2021</t>
  </si>
  <si>
    <t>E1885</t>
  </si>
  <si>
    <t>E1397</t>
  </si>
  <si>
    <t>20-07-2022</t>
  </si>
  <si>
    <t>E2450</t>
  </si>
  <si>
    <t>14-04-2022</t>
  </si>
  <si>
    <t>E2052</t>
  </si>
  <si>
    <t>E2237</t>
  </si>
  <si>
    <t>E2381</t>
  </si>
  <si>
    <t>22-04-2023</t>
  </si>
  <si>
    <t>E2077</t>
  </si>
  <si>
    <t>21-02-2021</t>
  </si>
  <si>
    <t>E2393</t>
  </si>
  <si>
    <t>23-06-2023</t>
  </si>
  <si>
    <t>E1179</t>
  </si>
  <si>
    <t>06-08-2021</t>
  </si>
  <si>
    <t>E1177</t>
  </si>
  <si>
    <t>E1741</t>
  </si>
  <si>
    <t>22-07-2024</t>
  </si>
  <si>
    <t>E1508</t>
  </si>
  <si>
    <t>26-11-2023</t>
  </si>
  <si>
    <t>E1571</t>
  </si>
  <si>
    <t>22-09-2023</t>
  </si>
  <si>
    <t>E1921</t>
  </si>
  <si>
    <t>E2319</t>
  </si>
  <si>
    <t>04-12-2022</t>
  </si>
  <si>
    <t>E1301</t>
  </si>
  <si>
    <t>20-05-2021</t>
  </si>
  <si>
    <t>E2420</t>
  </si>
  <si>
    <t>E1967</t>
  </si>
  <si>
    <t>22-02-2022</t>
  </si>
  <si>
    <t>E1640</t>
  </si>
  <si>
    <t>18-06-2024</t>
  </si>
  <si>
    <t>E1564</t>
  </si>
  <si>
    <t>E2249</t>
  </si>
  <si>
    <t>E1079</t>
  </si>
  <si>
    <t>E1519</t>
  </si>
  <si>
    <t>05-03-2022</t>
  </si>
  <si>
    <t>E2067</t>
  </si>
  <si>
    <t>07-07-2020</t>
  </si>
  <si>
    <t>19-03-2025</t>
  </si>
  <si>
    <t>E1727</t>
  </si>
  <si>
    <t>26-07-2024</t>
  </si>
  <si>
    <t>E1229</t>
  </si>
  <si>
    <t>E1819</t>
  </si>
  <si>
    <t>02-05-2022</t>
  </si>
  <si>
    <t>E2065</t>
  </si>
  <si>
    <t>E1051</t>
  </si>
  <si>
    <t>25-09-2024</t>
  </si>
  <si>
    <t>E1030</t>
  </si>
  <si>
    <t>E1634</t>
  </si>
  <si>
    <t>24-10-2024</t>
  </si>
  <si>
    <t>E1657</t>
  </si>
  <si>
    <t>19-08-2023</t>
  </si>
  <si>
    <t>E1562</t>
  </si>
  <si>
    <t>04-01-2022</t>
  </si>
  <si>
    <t>E2332</t>
  </si>
  <si>
    <t>E1999</t>
  </si>
  <si>
    <t>30-04-2022</t>
  </si>
  <si>
    <t>E2275</t>
  </si>
  <si>
    <t>01-12-2019</t>
  </si>
  <si>
    <t>E2131</t>
  </si>
  <si>
    <t>E1204</t>
  </si>
  <si>
    <t>23-03-2019</t>
  </si>
  <si>
    <t>E1445</t>
  </si>
  <si>
    <t>E1372</t>
  </si>
  <si>
    <t>E1033</t>
  </si>
  <si>
    <t>06-02-2019</t>
  </si>
  <si>
    <t>E2207</t>
  </si>
  <si>
    <t>07-04-2026</t>
  </si>
  <si>
    <t>29-05-2026</t>
  </si>
  <si>
    <t>E2201</t>
  </si>
  <si>
    <t>21-05-2025</t>
  </si>
  <si>
    <t>15-05-2026</t>
  </si>
  <si>
    <t>E1966</t>
  </si>
  <si>
    <t>30-10-2020</t>
  </si>
  <si>
    <t>E2059</t>
  </si>
  <si>
    <t>E1894</t>
  </si>
  <si>
    <t>E1669</t>
  </si>
  <si>
    <t>28-10-2022</t>
  </si>
  <si>
    <t>E2200</t>
  </si>
  <si>
    <t>28-02-2024</t>
  </si>
  <si>
    <t>E2224</t>
  </si>
  <si>
    <t>E1959</t>
  </si>
  <si>
    <t>12-06-2023</t>
  </si>
  <si>
    <t>14-06-2025</t>
  </si>
  <si>
    <t>E1335</t>
  </si>
  <si>
    <t>23-04-2026</t>
  </si>
  <si>
    <t>E1383</t>
  </si>
  <si>
    <t>E2082</t>
  </si>
  <si>
    <t>02-04-2022</t>
  </si>
  <si>
    <t>E2139</t>
  </si>
  <si>
    <t>11-02-2021</t>
  </si>
  <si>
    <t>E1373</t>
  </si>
  <si>
    <t>16-07-2023</t>
  </si>
  <si>
    <t>E1152</t>
  </si>
  <si>
    <t>01-06-2026</t>
  </si>
  <si>
    <t>E1960</t>
  </si>
  <si>
    <t>20-03-2026</t>
  </si>
  <si>
    <t>E1779</t>
  </si>
  <si>
    <t>11-06-2023</t>
  </si>
  <si>
    <t>E1998</t>
  </si>
  <si>
    <t>28-11-2021</t>
  </si>
  <si>
    <t>E1004</t>
  </si>
  <si>
    <t>E2248</t>
  </si>
  <si>
    <t>29-03-2023</t>
  </si>
  <si>
    <t>E1703</t>
  </si>
  <si>
    <t>15-10-2021</t>
  </si>
  <si>
    <t>E1643</t>
  </si>
  <si>
    <t>03-06-2023</t>
  </si>
  <si>
    <t>E1430</t>
  </si>
  <si>
    <t>E2181</t>
  </si>
  <si>
    <t>E2441</t>
  </si>
  <si>
    <t>17-11-2024</t>
  </si>
  <si>
    <t>E2290</t>
  </si>
  <si>
    <t>E1446</t>
  </si>
  <si>
    <t>03-02-2026</t>
  </si>
  <si>
    <t>E1855</t>
  </si>
  <si>
    <t>23-03-2024</t>
  </si>
  <si>
    <t>E2443</t>
  </si>
  <si>
    <t>05-11-2021</t>
  </si>
  <si>
    <t>E1042</t>
  </si>
  <si>
    <t>E1834</t>
  </si>
  <si>
    <t>28-10-2023</t>
  </si>
  <si>
    <t>E1223</t>
  </si>
  <si>
    <t>07-01-2022</t>
  </si>
  <si>
    <t>01-07-2025</t>
  </si>
  <si>
    <t>E1841</t>
  </si>
  <si>
    <t>E2388</t>
  </si>
  <si>
    <t>E1053</t>
  </si>
  <si>
    <t>E1502</t>
  </si>
  <si>
    <t>25-03-2022</t>
  </si>
  <si>
    <t>E1114</t>
  </si>
  <si>
    <t>04-07-2022</t>
  </si>
  <si>
    <t>E1049</t>
  </si>
  <si>
    <t>12-11-2024</t>
  </si>
  <si>
    <t>E1290</t>
  </si>
  <si>
    <t>E1077</t>
  </si>
  <si>
    <t>17-01-2026</t>
  </si>
  <si>
    <t>E1207</t>
  </si>
  <si>
    <t>E1378</t>
  </si>
  <si>
    <t>E1124</t>
  </si>
  <si>
    <t>15-12-2020</t>
  </si>
  <si>
    <t>E1974</t>
  </si>
  <si>
    <t>E2195</t>
  </si>
  <si>
    <t>23-12-2022</t>
  </si>
  <si>
    <t>E2324</t>
  </si>
  <si>
    <t>29-06-2019</t>
  </si>
  <si>
    <t>E1387</t>
  </si>
  <si>
    <t>E1226</t>
  </si>
  <si>
    <t>E2148</t>
  </si>
  <si>
    <t>17-09-2025</t>
  </si>
  <si>
    <t>E1633</t>
  </si>
  <si>
    <t>26-11-2022</t>
  </si>
  <si>
    <t>E1776</t>
  </si>
  <si>
    <t>29-10-2021</t>
  </si>
  <si>
    <t>E1890</t>
  </si>
  <si>
    <t>27-02-2022</t>
  </si>
  <si>
    <t>E1326</t>
  </si>
  <si>
    <t>12-10-2019</t>
  </si>
  <si>
    <t>E1900</t>
  </si>
  <si>
    <t>E1833</t>
  </si>
  <si>
    <t>E1222</t>
  </si>
  <si>
    <t>24-04-2026</t>
  </si>
  <si>
    <t>E2119</t>
  </si>
  <si>
    <t>E2326</t>
  </si>
  <si>
    <t>25-10-2024</t>
  </si>
  <si>
    <t>E1684</t>
  </si>
  <si>
    <t>07-11-2022</t>
  </si>
  <si>
    <t>E2364</t>
  </si>
  <si>
    <t>04-04-2023</t>
  </si>
  <si>
    <t>05-05-2024</t>
  </si>
  <si>
    <t>E1618</t>
  </si>
  <si>
    <t>03-08-2021</t>
  </si>
  <si>
    <t>23-02-2026</t>
  </si>
  <si>
    <t>E1686</t>
  </si>
  <si>
    <t>29-07-2024</t>
  </si>
  <si>
    <t>E1870</t>
  </si>
  <si>
    <t>03-06-2019</t>
  </si>
  <si>
    <t>E1674</t>
  </si>
  <si>
    <t>E1750</t>
  </si>
  <si>
    <t>06-12-2025</t>
  </si>
  <si>
    <t>E2003</t>
  </si>
  <si>
    <t>E2068</t>
  </si>
  <si>
    <t>01-04-2020</t>
  </si>
  <si>
    <t>E1409</t>
  </si>
  <si>
    <t>11-01-2026</t>
  </si>
  <si>
    <t>E1630</t>
  </si>
  <si>
    <t>15-11-2020</t>
  </si>
  <si>
    <t>E2229</t>
  </si>
  <si>
    <t>20-05-2019</t>
  </si>
  <si>
    <t>E1647</t>
  </si>
  <si>
    <t>08-11-2024</t>
  </si>
  <si>
    <t>E1140</t>
  </si>
  <si>
    <t>E2114</t>
  </si>
  <si>
    <t>31-01-2021</t>
  </si>
  <si>
    <t>E1914</t>
  </si>
  <si>
    <t>E1166</t>
  </si>
  <si>
    <t>10-01-2022</t>
  </si>
  <si>
    <t>E2089</t>
  </si>
  <si>
    <t>E1813</t>
  </si>
  <si>
    <t>31-10-2023</t>
  </si>
  <si>
    <t>E1215</t>
  </si>
  <si>
    <t>17-07-2021</t>
  </si>
  <si>
    <t>E1132</t>
  </si>
  <si>
    <t>E1315</t>
  </si>
  <si>
    <t>E1139</t>
  </si>
  <si>
    <t>20-06-2020</t>
  </si>
  <si>
    <t>E2186</t>
  </si>
  <si>
    <t>27-05-2023</t>
  </si>
  <si>
    <t>E1417</t>
  </si>
  <si>
    <t>10-04-2024</t>
  </si>
  <si>
    <t>E2030</t>
  </si>
  <si>
    <t>09-05-2025</t>
  </si>
  <si>
    <t>E1039</t>
  </si>
  <si>
    <t>06-10-2024</t>
  </si>
  <si>
    <t>E1054</t>
  </si>
  <si>
    <t>E1707</t>
  </si>
  <si>
    <t>E1137</t>
  </si>
  <si>
    <t>14-03-2019</t>
  </si>
  <si>
    <t>E2369</t>
  </si>
  <si>
    <t>19-10-2019</t>
  </si>
  <si>
    <t>E1794</t>
  </si>
  <si>
    <t>31-03-2019</t>
  </si>
  <si>
    <t>E1036</t>
  </si>
  <si>
    <t>E1026</t>
  </si>
  <si>
    <t>10-04-2021</t>
  </si>
  <si>
    <t>E1658</t>
  </si>
  <si>
    <t>E1450</t>
  </si>
  <si>
    <t>E1579</t>
  </si>
  <si>
    <t>E1303</t>
  </si>
  <si>
    <t>16-04-2020</t>
  </si>
  <si>
    <t>E2407</t>
  </si>
  <si>
    <t>27-04-2020</t>
  </si>
  <si>
    <t>E2460</t>
  </si>
  <si>
    <t>26-03-2020</t>
  </si>
  <si>
    <t>E2153</t>
  </si>
  <si>
    <t>E2053</t>
  </si>
  <si>
    <t>E2179</t>
  </si>
  <si>
    <t>31-10-2020</t>
  </si>
  <si>
    <t>E1778</t>
  </si>
  <si>
    <t>08-06-2020</t>
  </si>
  <si>
    <t>E2205</t>
  </si>
  <si>
    <t>E1245</t>
  </si>
  <si>
    <t>23-04-2019</t>
  </si>
  <si>
    <t>25-11-2025</t>
  </si>
  <si>
    <t>E1104</t>
  </si>
  <si>
    <t>13-03-2019</t>
  </si>
  <si>
    <t>E1277</t>
  </si>
  <si>
    <t>E1394</t>
  </si>
  <si>
    <t>06-05-2025</t>
  </si>
  <si>
    <t>E1111</t>
  </si>
  <si>
    <t>10-03-2026</t>
  </si>
  <si>
    <t>E1589</t>
  </si>
  <si>
    <t>11-03-2019</t>
  </si>
  <si>
    <t>E1160</t>
  </si>
  <si>
    <t>E1971</t>
  </si>
  <si>
    <t>02-02-2026</t>
  </si>
  <si>
    <t>E1748</t>
  </si>
  <si>
    <t>12-02-2022</t>
  </si>
  <si>
    <t>E2166</t>
  </si>
  <si>
    <t>30-08-2019</t>
  </si>
  <si>
    <t>E2390</t>
  </si>
  <si>
    <t>E1661</t>
  </si>
  <si>
    <t>27-01-2025</t>
  </si>
  <si>
    <t>E2149</t>
  </si>
  <si>
    <t>E1340</t>
  </si>
  <si>
    <t>E1330</t>
  </si>
  <si>
    <t>25-06-2021</t>
  </si>
  <si>
    <t>E1134</t>
  </si>
  <si>
    <t>21-03-2023</t>
  </si>
  <si>
    <t>E1638</t>
  </si>
  <si>
    <t>01-07-2021</t>
  </si>
  <si>
    <t>E1168</t>
  </si>
  <si>
    <t>E2382</t>
  </si>
  <si>
    <t>27-02-2020</t>
  </si>
  <si>
    <t>E1928</t>
  </si>
  <si>
    <t>07-07-2025</t>
  </si>
  <si>
    <t>E1861</t>
  </si>
  <si>
    <t>E2021</t>
  </si>
  <si>
    <t>E2467</t>
  </si>
  <si>
    <t>18-01-2023</t>
  </si>
  <si>
    <t>E1025</t>
  </si>
  <si>
    <t>05-01-2019</t>
  </si>
  <si>
    <t>E1807</t>
  </si>
  <si>
    <t>E2398</t>
  </si>
  <si>
    <t>21-12-2020</t>
  </si>
  <si>
    <t>E1444</t>
  </si>
  <si>
    <t>E1151</t>
  </si>
  <si>
    <t>E2304</t>
  </si>
  <si>
    <t>21-04-2021</t>
  </si>
  <si>
    <t>E1095</t>
  </si>
  <si>
    <t>16-08-2024</t>
  </si>
  <si>
    <t>E2340</t>
  </si>
  <si>
    <t>E1218</t>
  </si>
  <si>
    <t>28-07-2021</t>
  </si>
  <si>
    <t>E1382</t>
  </si>
  <si>
    <t>06-12-2019</t>
  </si>
  <si>
    <t>E2048</t>
  </si>
  <si>
    <t>16-11-2024</t>
  </si>
  <si>
    <t>E1781</t>
  </si>
  <si>
    <t>31-05-2025</t>
  </si>
  <si>
    <t>E1901</t>
  </si>
  <si>
    <t>E2421</t>
  </si>
  <si>
    <t>10-03-2025</t>
  </si>
  <si>
    <t>E1865</t>
  </si>
  <si>
    <t>20-02-2023</t>
  </si>
  <si>
    <t>E1293</t>
  </si>
  <si>
    <t>E1713</t>
  </si>
  <si>
    <t>13-12-2021</t>
  </si>
  <si>
    <t>08-05-2024</t>
  </si>
  <si>
    <t>E1101</t>
  </si>
  <si>
    <t>E2050</t>
  </si>
  <si>
    <t>08-02-2020</t>
  </si>
  <si>
    <t>E1784</t>
  </si>
  <si>
    <t>E2192</t>
  </si>
  <si>
    <t>26-05-2021</t>
  </si>
  <si>
    <t>E1490</t>
  </si>
  <si>
    <t>E1701</t>
  </si>
  <si>
    <t>E2143</t>
  </si>
  <si>
    <t>E1751</t>
  </si>
  <si>
    <t>02-07-2022</t>
  </si>
  <si>
    <t>E1963</t>
  </si>
  <si>
    <t>30-09-2024</t>
  </si>
  <si>
    <t>E2013</t>
  </si>
  <si>
    <t>13-10-2019</t>
  </si>
  <si>
    <t>E1243</t>
  </si>
  <si>
    <t>20-06-2021</t>
  </si>
  <si>
    <t>E1169</t>
  </si>
  <si>
    <t>24-09-2023</t>
  </si>
  <si>
    <t>E1074</t>
  </si>
  <si>
    <t>11-03-2026</t>
  </si>
  <si>
    <t>E1560</t>
  </si>
  <si>
    <t>E2305</t>
  </si>
  <si>
    <t>E2479</t>
  </si>
  <si>
    <t>16-03-2021</t>
  </si>
  <si>
    <t>17-12-2022</t>
  </si>
  <si>
    <t>E2256</t>
  </si>
  <si>
    <t>20-09-2023</t>
  </si>
  <si>
    <t>E1119</t>
  </si>
  <si>
    <t>19-08-2021</t>
  </si>
  <si>
    <t>E1521</t>
  </si>
  <si>
    <t>05-05-2026</t>
  </si>
  <si>
    <t>E1714</t>
  </si>
  <si>
    <t>12-02-2024</t>
  </si>
  <si>
    <t>E1993</t>
  </si>
  <si>
    <t>E1006</t>
  </si>
  <si>
    <t>08-03-2022</t>
  </si>
  <si>
    <t>E1255</t>
  </si>
  <si>
    <t>E2094</t>
  </si>
  <si>
    <t>06-01-2021</t>
  </si>
  <si>
    <t>E1384</t>
  </si>
  <si>
    <t>14-06-2026</t>
  </si>
  <si>
    <t>E2103</t>
  </si>
  <si>
    <t>13-03-2023</t>
  </si>
  <si>
    <t>E1517</t>
  </si>
  <si>
    <t>26-10-2020</t>
  </si>
  <si>
    <t>17-02-2021</t>
  </si>
  <si>
    <t>E1055</t>
  </si>
  <si>
    <t>E1468</t>
  </si>
  <si>
    <t>E1267</t>
  </si>
  <si>
    <t>27-07-2023</t>
  </si>
  <si>
    <t>E2034</t>
  </si>
  <si>
    <t>E1584</t>
  </si>
  <si>
    <t>E1767</t>
  </si>
  <si>
    <t>14-01-2024</t>
  </si>
  <si>
    <t>E1538</t>
  </si>
  <si>
    <t>28-12-2023</t>
  </si>
  <si>
    <t>E2455</t>
  </si>
  <si>
    <t>15-12-2019</t>
  </si>
  <si>
    <t>E1060</t>
  </si>
  <si>
    <t>23-06-2025</t>
  </si>
  <si>
    <t>E2164</t>
  </si>
  <si>
    <t>14-05-2020</t>
  </si>
  <si>
    <t>E1167</t>
  </si>
  <si>
    <t>E2251</t>
  </si>
  <si>
    <t>E1816</t>
  </si>
  <si>
    <t>09-04-2020</t>
  </si>
  <si>
    <t>E1332</t>
  </si>
  <si>
    <t>08-09-2024</t>
  </si>
  <si>
    <t>E1248</t>
  </si>
  <si>
    <t>31-01-2023</t>
  </si>
  <si>
    <t>E1374</t>
  </si>
  <si>
    <t>19-01-2020</t>
  </si>
  <si>
    <t>E2190</t>
  </si>
  <si>
    <t>12-05-2019</t>
  </si>
  <si>
    <t>01-04-2023</t>
  </si>
  <si>
    <t>E1500</t>
  </si>
  <si>
    <t>07-01-2020</t>
  </si>
  <si>
    <t>E2167</t>
  </si>
  <si>
    <t>05-09-2024</t>
  </si>
  <si>
    <t>E1637</t>
  </si>
  <si>
    <t>08-06-2021</t>
  </si>
  <si>
    <t>E1617</t>
  </si>
  <si>
    <t>E2161</t>
  </si>
  <si>
    <t>23-09-2020</t>
  </si>
  <si>
    <t>E1567</t>
  </si>
  <si>
    <t>04-03-2024</t>
  </si>
  <si>
    <t>E1235</t>
  </si>
  <si>
    <t>06-09-2020</t>
  </si>
  <si>
    <t>23-01-2022</t>
  </si>
  <si>
    <t>E1627</t>
  </si>
  <si>
    <t>31-12-2021</t>
  </si>
  <si>
    <t>15-10-2023</t>
  </si>
  <si>
    <t>E1431</t>
  </si>
  <si>
    <t>E2011</t>
  </si>
  <si>
    <t>03-12-2023</t>
  </si>
  <si>
    <t>E2477</t>
  </si>
  <si>
    <t>18-07-2019</t>
  </si>
  <si>
    <t>E1192</t>
  </si>
  <si>
    <t>19-06-2024</t>
  </si>
  <si>
    <t>13-02-2025</t>
  </si>
  <si>
    <t>E2174</t>
  </si>
  <si>
    <t>E1436</t>
  </si>
  <si>
    <t>12-05-2026</t>
  </si>
  <si>
    <t>E1837</t>
  </si>
  <si>
    <t>E2241</t>
  </si>
  <si>
    <t>30-03-2025</t>
  </si>
  <si>
    <t>E2017</t>
  </si>
  <si>
    <t>24-03-2023</t>
  </si>
  <si>
    <t>E1185</t>
  </si>
  <si>
    <t>E1688</t>
  </si>
  <si>
    <t>E1639</t>
  </si>
  <si>
    <t>13-09-2025</t>
  </si>
  <si>
    <t>E1570</t>
  </si>
  <si>
    <t>E1934</t>
  </si>
  <si>
    <t>06-09-2023</t>
  </si>
  <si>
    <t>E2170</t>
  </si>
  <si>
    <t>21-08-2023</t>
  </si>
  <si>
    <t>E1534</t>
  </si>
  <si>
    <t>11-05-2025</t>
  </si>
  <si>
    <t>E2487</t>
  </si>
  <si>
    <t>26-02-2020</t>
  </si>
  <si>
    <t>E1743</t>
  </si>
  <si>
    <t>E1197</t>
  </si>
  <si>
    <t>31-10-2022</t>
  </si>
  <si>
    <t>E2499</t>
  </si>
  <si>
    <t>11-03-2022</t>
  </si>
  <si>
    <t>E1496</t>
  </si>
  <si>
    <t>23-09-2023</t>
  </si>
  <si>
    <t>E1592</t>
  </si>
  <si>
    <t>26-09-2025</t>
  </si>
  <si>
    <t>E1937</t>
  </si>
  <si>
    <t>E2042</t>
  </si>
  <si>
    <t>E1980</t>
  </si>
  <si>
    <t>16-11-2019</t>
  </si>
  <si>
    <t>E1381</t>
  </si>
  <si>
    <t>13-06-2022</t>
  </si>
  <si>
    <t>E1028</t>
  </si>
  <si>
    <t>28-05-2022</t>
  </si>
  <si>
    <t>31-03-2025</t>
  </si>
  <si>
    <t>E1396</t>
  </si>
  <si>
    <t>30-10-2025</t>
  </si>
  <si>
    <t>E1321</t>
  </si>
  <si>
    <t>13-10-2021</t>
  </si>
  <si>
    <t>E1148</t>
  </si>
  <si>
    <t>11-03-2020</t>
  </si>
  <si>
    <t>E1798</t>
  </si>
  <si>
    <t>01-06-2025</t>
  </si>
  <si>
    <t>E1624</t>
  </si>
  <si>
    <t>E1239</t>
  </si>
  <si>
    <t>18-01-2025</t>
  </si>
  <si>
    <t>E2010</t>
  </si>
  <si>
    <t>E1911</t>
  </si>
  <si>
    <t>07-10-2023</t>
  </si>
  <si>
    <t>21-03-2024</t>
  </si>
  <si>
    <t>E1896</t>
  </si>
  <si>
    <t>E2321</t>
  </si>
  <si>
    <t>E1107</t>
  </si>
  <si>
    <t>20-03-2025</t>
  </si>
  <si>
    <t>E1351</t>
  </si>
  <si>
    <t>12-09-2019</t>
  </si>
  <si>
    <t>E1651</t>
  </si>
  <si>
    <t>E1390</t>
  </si>
  <si>
    <t>E2005</t>
  </si>
  <si>
    <t>24-02-2021</t>
  </si>
  <si>
    <t>E2118</t>
  </si>
  <si>
    <t>E1555</t>
  </si>
  <si>
    <t>27-02-2021</t>
  </si>
  <si>
    <t>E2424</t>
  </si>
  <si>
    <t>15-04-2026</t>
  </si>
  <si>
    <t>E1171</t>
  </si>
  <si>
    <t>12-02-2021</t>
  </si>
  <si>
    <t>E2239</t>
  </si>
  <si>
    <t>27-11-2021</t>
  </si>
  <si>
    <t>E1307</t>
  </si>
  <si>
    <t>19-08-2022</t>
  </si>
  <si>
    <t>E1416</t>
  </si>
  <si>
    <t>24-09-2022</t>
  </si>
  <si>
    <t>E2470</t>
  </si>
  <si>
    <t>E2282</t>
  </si>
  <si>
    <t>E1429</t>
  </si>
  <si>
    <t>18-02-2019</t>
  </si>
  <si>
    <t>E1187</t>
  </si>
  <si>
    <t>07-08-2022</t>
  </si>
  <si>
    <t>E2006</t>
  </si>
  <si>
    <t>E1909</t>
  </si>
  <si>
    <t>08-02-2019</t>
  </si>
  <si>
    <t>E1270</t>
  </si>
  <si>
    <t>E1868</t>
  </si>
  <si>
    <t>01-02-2022</t>
  </si>
  <si>
    <t>E1631</t>
  </si>
  <si>
    <t>22-04-2024</t>
  </si>
  <si>
    <t>E1951</t>
  </si>
  <si>
    <t>03-11-2021</t>
  </si>
  <si>
    <t>E1163</t>
  </si>
  <si>
    <t>29-09-2020</t>
  </si>
  <si>
    <t>E1414</t>
  </si>
  <si>
    <t>06-02-2020</t>
  </si>
  <si>
    <t>E2330</t>
  </si>
  <si>
    <t>02-04-2023</t>
  </si>
  <si>
    <t>E1096</t>
  </si>
  <si>
    <t>05-07-2024</t>
  </si>
  <si>
    <t>E1099</t>
  </si>
  <si>
    <t>27-10-2024</t>
  </si>
  <si>
    <t>E2031</t>
  </si>
  <si>
    <t>05-07-2021</t>
  </si>
  <si>
    <t>E1877</t>
  </si>
  <si>
    <t>07-09-2019</t>
  </si>
  <si>
    <t>E1818</t>
  </si>
  <si>
    <t>17-03-2021</t>
  </si>
  <si>
    <t>E1823</t>
  </si>
  <si>
    <t>08-06-2024</t>
  </si>
  <si>
    <t>E1208</t>
  </si>
  <si>
    <t>18-02-2020</t>
  </si>
  <si>
    <t>22-03-2023</t>
  </si>
  <si>
    <t>E1975</t>
  </si>
  <si>
    <t>E1687</t>
  </si>
  <si>
    <t>16-08-2025</t>
  </si>
  <si>
    <t>E1873</t>
  </si>
  <si>
    <t>E1246</t>
  </si>
  <si>
    <t>E1230</t>
  </si>
  <si>
    <t>E1907</t>
  </si>
  <si>
    <t>17-05-2023</t>
  </si>
  <si>
    <t>E1009</t>
  </si>
  <si>
    <t>06-08-2023</t>
  </si>
  <si>
    <t>E1897</t>
  </si>
  <si>
    <t>E2403</t>
  </si>
  <si>
    <t>05-01-2025</t>
  </si>
  <si>
    <t>E2387</t>
  </si>
  <si>
    <t>E2432</t>
  </si>
  <si>
    <t>06-10-2020</t>
  </si>
  <si>
    <t>E1866</t>
  </si>
  <si>
    <t>01-05-2022</t>
  </si>
  <si>
    <t>20-12-2025</t>
  </si>
  <si>
    <t>E1792</t>
  </si>
  <si>
    <t>E2023</t>
  </si>
  <si>
    <t>20-02-2022</t>
  </si>
  <si>
    <t>E1190</t>
  </si>
  <si>
    <t>03-04-2026</t>
  </si>
  <si>
    <t>E1261</t>
  </si>
  <si>
    <t>E1145</t>
  </si>
  <si>
    <t>30-12-2022</t>
  </si>
  <si>
    <t>E1829</t>
  </si>
  <si>
    <t>30-08-2025</t>
  </si>
  <si>
    <t>E1699</t>
  </si>
  <si>
    <t>01-02-2021</t>
  </si>
  <si>
    <t>E1920</t>
  </si>
  <si>
    <t>04-05-2021</t>
  </si>
  <si>
    <t>E2395</t>
  </si>
  <si>
    <t>15-07-2024</t>
  </si>
  <si>
    <t>E1938</t>
  </si>
  <si>
    <t>28-09-2025</t>
  </si>
  <si>
    <t>E2036</t>
  </si>
  <si>
    <t>E2362</t>
  </si>
  <si>
    <t>03-03-2026</t>
  </si>
  <si>
    <t>E1891</t>
  </si>
  <si>
    <t>E1595</t>
  </si>
  <si>
    <t>E1532</t>
  </si>
  <si>
    <t>20-08-2025</t>
  </si>
  <si>
    <t>E1895</t>
  </si>
  <si>
    <t>E2468</t>
  </si>
  <si>
    <t>06-06-2021</t>
  </si>
  <si>
    <t>23-02-2025</t>
  </si>
  <si>
    <t>E2152</t>
  </si>
  <si>
    <t>E1058</t>
  </si>
  <si>
    <t>E2058</t>
  </si>
  <si>
    <t>25-12-2024</t>
  </si>
  <si>
    <t>E2262</t>
  </si>
  <si>
    <t>23-04-2022</t>
  </si>
  <si>
    <t>E1283</t>
  </si>
  <si>
    <t>30-05-2023</t>
  </si>
  <si>
    <t>E1935</t>
  </si>
  <si>
    <t>E1363</t>
  </si>
  <si>
    <t>E1244</t>
  </si>
  <si>
    <t>E1093</t>
  </si>
  <si>
    <t>29-03-2020</t>
  </si>
  <si>
    <t>E2235</t>
  </si>
  <si>
    <t>E1338</t>
  </si>
  <si>
    <t>E2014</t>
  </si>
  <si>
    <t>E1948</t>
  </si>
  <si>
    <t>01-09-2025</t>
  </si>
  <si>
    <t>E2110</t>
  </si>
  <si>
    <t>05-04-2019</t>
  </si>
  <si>
    <t>E1191</t>
  </si>
  <si>
    <t>24-02-2020</t>
  </si>
  <si>
    <t>E1040</t>
  </si>
  <si>
    <t>30-03-2023</t>
  </si>
  <si>
    <t>E1976</t>
  </si>
  <si>
    <t>E1635</t>
  </si>
  <si>
    <t>25-06-2025</t>
  </si>
  <si>
    <t>E1765</t>
  </si>
  <si>
    <t>29-11-2022</t>
  </si>
  <si>
    <t>E1724</t>
  </si>
  <si>
    <t>23-08-2020</t>
  </si>
  <si>
    <t>E2129</t>
  </si>
  <si>
    <t>E1064</t>
  </si>
  <si>
    <t>01-07-2022</t>
  </si>
  <si>
    <t>E1234</t>
  </si>
  <si>
    <t>24-02-2025</t>
  </si>
  <si>
    <t>E1677</t>
  </si>
  <si>
    <t>E1106</t>
  </si>
  <si>
    <t>03-05-2024</t>
  </si>
  <si>
    <t>E1754</t>
  </si>
  <si>
    <t>E1903</t>
  </si>
  <si>
    <t>08-03-2025</t>
  </si>
  <si>
    <t>E1254</t>
  </si>
  <si>
    <t>27-11-2019</t>
  </si>
  <si>
    <t>E1423</t>
  </si>
  <si>
    <t>E2233</t>
  </si>
  <si>
    <t>E1859</t>
  </si>
  <si>
    <t>29-09-2023</t>
  </si>
  <si>
    <t>E1925</t>
  </si>
  <si>
    <t>E1080</t>
  </si>
  <si>
    <t>16-06-2026</t>
  </si>
  <si>
    <t>E1990</t>
  </si>
  <si>
    <t>25-10-2020</t>
  </si>
  <si>
    <t>E2107</t>
  </si>
  <si>
    <t>07-10-2022</t>
  </si>
  <si>
    <t>E1498</t>
  </si>
  <si>
    <t>15-05-2020</t>
  </si>
  <si>
    <t>E2447</t>
  </si>
  <si>
    <t>08-06-2025</t>
  </si>
  <si>
    <t>E1088</t>
  </si>
  <si>
    <t>E1065</t>
  </si>
  <si>
    <t>E2295</t>
  </si>
  <si>
    <t>19-10-2023</t>
  </si>
  <si>
    <t>E1606</t>
  </si>
  <si>
    <t>E1275</t>
  </si>
  <si>
    <t>29-12-2021</t>
  </si>
  <si>
    <t>E2496</t>
  </si>
  <si>
    <t>E2478</t>
  </si>
  <si>
    <t>E2429</t>
  </si>
  <si>
    <t>28-11-2020</t>
  </si>
  <si>
    <t>E1154</t>
  </si>
  <si>
    <t>23-01-2019</t>
  </si>
  <si>
    <t>E1614</t>
  </si>
  <si>
    <t>E1411</t>
  </si>
  <si>
    <t>08-08-2023</t>
  </si>
  <si>
    <t>E1831</t>
  </si>
  <si>
    <t>04-09-2024</t>
  </si>
  <si>
    <t>E1913</t>
  </si>
  <si>
    <t>E1518</t>
  </si>
  <si>
    <t>E1045</t>
  </si>
  <si>
    <t>E1391</t>
  </si>
  <si>
    <t>14-02-2024</t>
  </si>
  <si>
    <t>E1221</t>
  </si>
  <si>
    <t>E1141</t>
  </si>
  <si>
    <t>31-10-2024</t>
  </si>
  <si>
    <t>E1358</t>
  </si>
  <si>
    <t>02-11-2019</t>
  </si>
  <si>
    <t>E1723</t>
  </si>
  <si>
    <t>06-05-2026</t>
  </si>
  <si>
    <t>E2158</t>
  </si>
  <si>
    <t>25-11-2020</t>
  </si>
  <si>
    <t>E1262</t>
  </si>
  <si>
    <t>E2303</t>
  </si>
  <si>
    <t>13-01-2021</t>
  </si>
  <si>
    <t>E1899</t>
  </si>
  <si>
    <t>15-09-2019</t>
  </si>
  <si>
    <t>E2104</t>
  </si>
  <si>
    <t>22-10-2019</t>
  </si>
  <si>
    <t>E1196</t>
  </si>
  <si>
    <t>02-07-2021</t>
  </si>
  <si>
    <t>E1116</t>
  </si>
  <si>
    <t>E2076</t>
  </si>
  <si>
    <t>18-08-2019</t>
  </si>
  <si>
    <t>E2074</t>
  </si>
  <si>
    <t>21-05-2022</t>
  </si>
  <si>
    <t>E1719</t>
  </si>
  <si>
    <t>30-08-2024</t>
  </si>
  <si>
    <t>E2457</t>
  </si>
  <si>
    <t>E2209</t>
  </si>
  <si>
    <t>E2346</t>
  </si>
  <si>
    <t>16-02-2026</t>
  </si>
  <si>
    <t>E1359</t>
  </si>
  <si>
    <t>04-09-2022</t>
  </si>
  <si>
    <t>E2061</t>
  </si>
  <si>
    <t>E2020</t>
  </si>
  <si>
    <t>10-04-2020</t>
  </si>
  <si>
    <t>E2001</t>
  </si>
  <si>
    <t>28-08-2023</t>
  </si>
  <si>
    <t>E1936</t>
  </si>
  <si>
    <t>13-02-2022</t>
  </si>
  <si>
    <t>E1755</t>
  </si>
  <si>
    <t>E1421</t>
  </si>
  <si>
    <t>E1150</t>
  </si>
  <si>
    <t>E1010</t>
  </si>
  <si>
    <t>25-09-2022</t>
  </si>
  <si>
    <t>E2070</t>
  </si>
  <si>
    <t>E2120</t>
  </si>
  <si>
    <t>25-08-2022</t>
  </si>
  <si>
    <t>E2436</t>
  </si>
  <si>
    <t>02-05-2025</t>
  </si>
  <si>
    <t>E1535</t>
  </si>
  <si>
    <t>20-01-2021</t>
  </si>
  <si>
    <t>E1549</t>
  </si>
  <si>
    <t>14-01-2019</t>
  </si>
  <si>
    <t>E1299</t>
  </si>
  <si>
    <t>E1977</t>
  </si>
  <si>
    <t>10-04-2019</t>
  </si>
  <si>
    <t>E2315</t>
  </si>
  <si>
    <t>E2338</t>
  </si>
  <si>
    <t>18-07-2024</t>
  </si>
  <si>
    <t>E1123</t>
  </si>
  <si>
    <t>30-10-2023</t>
  </si>
  <si>
    <t>E2384</t>
  </si>
  <si>
    <t>06-06-2020</t>
  </si>
  <si>
    <t>E2160</t>
  </si>
  <si>
    <t>13-05-2023</t>
  </si>
  <si>
    <t>E2391</t>
  </si>
  <si>
    <t>E1710</t>
  </si>
  <si>
    <t>24-06-2020</t>
  </si>
  <si>
    <t>E2371</t>
  </si>
  <si>
    <t>02-07-2019</t>
  </si>
  <si>
    <t>E1770</t>
  </si>
  <si>
    <t>30-07-2024</t>
  </si>
  <si>
    <t>E1089</t>
  </si>
  <si>
    <t>E2438</t>
  </si>
  <si>
    <t>E2033</t>
  </si>
  <si>
    <t>02-10-2024</t>
  </si>
  <si>
    <t>E1098</t>
  </si>
  <si>
    <t>E2482</t>
  </si>
  <si>
    <t>E1349</t>
  </si>
  <si>
    <t>06-11-2022</t>
  </si>
  <si>
    <t>E1510</t>
  </si>
  <si>
    <t>E1212</t>
  </si>
  <si>
    <t>E1704</t>
  </si>
  <si>
    <t>30-08-2021</t>
  </si>
  <si>
    <t>E1747</t>
  </si>
  <si>
    <t>18-09-2025</t>
  </si>
  <si>
    <t>E2046</t>
  </si>
  <si>
    <t>E1940</t>
  </si>
  <si>
    <t>14-09-2020</t>
  </si>
  <si>
    <t>E2446</t>
  </si>
  <si>
    <t>19-11-2022</t>
  </si>
  <si>
    <t>E2498</t>
  </si>
  <si>
    <t>11-10-2019</t>
  </si>
  <si>
    <t>E2389</t>
  </si>
  <si>
    <t>28-12-2021</t>
  </si>
  <si>
    <t>E1479</t>
  </si>
  <si>
    <t>25-12-2020</t>
  </si>
  <si>
    <t>E1492</t>
  </si>
  <si>
    <t>22-11-2019</t>
  </si>
  <si>
    <t>E1842</t>
  </si>
  <si>
    <t>E2071</t>
  </si>
  <si>
    <t>22-01-2023</t>
  </si>
  <si>
    <t>E1365</t>
  </si>
  <si>
    <t>12-11-2020</t>
  </si>
  <si>
    <t>E1297</t>
  </si>
  <si>
    <t>E1050</t>
  </si>
  <si>
    <t>29-01-2023</t>
  </si>
  <si>
    <t>E1225</t>
  </si>
  <si>
    <t>24-02-2026</t>
  </si>
  <si>
    <t>E2244</t>
  </si>
  <si>
    <t>07-11-2024</t>
  </si>
  <si>
    <t>E2463</t>
  </si>
  <si>
    <t>23-04-2020</t>
  </si>
  <si>
    <t>E1851</t>
  </si>
  <si>
    <t>E1648</t>
  </si>
  <si>
    <t>E2226</t>
  </si>
  <si>
    <t>19-12-2025</t>
  </si>
  <si>
    <t>E1563</t>
  </si>
  <si>
    <t>E1623</t>
  </si>
  <si>
    <t>30-04-2020</t>
  </si>
  <si>
    <t>E2088</t>
  </si>
  <si>
    <t>E1805</t>
  </si>
  <si>
    <t>E1605</t>
  </si>
  <si>
    <t>22-09-2024</t>
  </si>
  <si>
    <t>E2270</t>
  </si>
  <si>
    <t>E1443</t>
  </si>
  <si>
    <t>06-11-2019</t>
  </si>
  <si>
    <t>E2416</t>
  </si>
  <si>
    <t>E2025</t>
  </si>
  <si>
    <t>29-07-2020</t>
  </si>
  <si>
    <t>E1540</t>
  </si>
  <si>
    <t>02-12-2021</t>
  </si>
  <si>
    <t>E1768</t>
  </si>
  <si>
    <t>E1763</t>
  </si>
  <si>
    <t>27-05-2024</t>
  </si>
  <si>
    <t>E1869</t>
  </si>
  <si>
    <t>E1690</t>
  </si>
  <si>
    <t>03-07-2024</t>
  </si>
  <si>
    <t>E1188</t>
  </si>
  <si>
    <t>E1407</t>
  </si>
  <si>
    <t>04-01-2024</t>
  </si>
  <si>
    <t>E2012</t>
  </si>
  <si>
    <t>E2173</t>
  </si>
  <si>
    <t>16-09-2022</t>
  </si>
  <si>
    <t>E1752</t>
  </si>
  <si>
    <t>06-04-2019</t>
  </si>
  <si>
    <t>E2051</t>
  </si>
  <si>
    <t>08-08-2020</t>
  </si>
  <si>
    <t>E1462</t>
  </si>
  <si>
    <t>20-10-2023</t>
  </si>
  <si>
    <t>E1671</t>
  </si>
  <si>
    <t>19-05-2019</t>
  </si>
  <si>
    <t>E1656</t>
  </si>
  <si>
    <t>14-02-2020</t>
  </si>
  <si>
    <t>E1786</t>
  </si>
  <si>
    <t>05-06-2025</t>
  </si>
  <si>
    <t>E2084</t>
  </si>
  <si>
    <t>28-07-2025</t>
  </si>
  <si>
    <t>E1715</t>
  </si>
  <si>
    <t>22-10-2020</t>
  </si>
  <si>
    <t>30-07-2025</t>
  </si>
  <si>
    <t>E2351</t>
  </si>
  <si>
    <t>E1425</t>
  </si>
  <si>
    <t>E1044</t>
  </si>
  <si>
    <t>23-06-2024</t>
  </si>
  <si>
    <t>E1662</t>
  </si>
  <si>
    <t>18-03-2020</t>
  </si>
  <si>
    <t>E1636</t>
  </si>
  <si>
    <t>27-08-2023</t>
  </si>
  <si>
    <t>E1529</t>
  </si>
  <si>
    <t>25-02-2022</t>
  </si>
  <si>
    <t>E1988</t>
  </si>
  <si>
    <t>21-07-2024</t>
  </si>
  <si>
    <t>E1219</t>
  </si>
  <si>
    <t>11-07-2020</t>
  </si>
  <si>
    <t>E1821</t>
  </si>
  <si>
    <t>26-12-2022</t>
  </si>
  <si>
    <t>E2350</t>
  </si>
  <si>
    <t>E2454</t>
  </si>
  <si>
    <t>E1856</t>
  </si>
  <si>
    <t>E1610</t>
  </si>
  <si>
    <t>11-06-2021</t>
  </si>
  <si>
    <t>E1486</t>
  </si>
  <si>
    <t>07-12-2019</t>
  </si>
  <si>
    <t>E2150</t>
  </si>
  <si>
    <t>02-02-2021</t>
  </si>
  <si>
    <t>E2018</t>
  </si>
  <si>
    <t>24-03-2025</t>
  </si>
  <si>
    <t>E2086</t>
  </si>
  <si>
    <t>07-10-2025</t>
  </si>
  <si>
    <t>E1082</t>
  </si>
  <si>
    <t>E1325</t>
  </si>
  <si>
    <t>E2410</t>
  </si>
  <si>
    <t>E2081</t>
  </si>
  <si>
    <t>01-11-2021</t>
  </si>
  <si>
    <t>E1020</t>
  </si>
  <si>
    <t>E1455</t>
  </si>
  <si>
    <t>18-09-2023</t>
  </si>
  <si>
    <t>E2111</t>
  </si>
  <si>
    <t>04-02-2024</t>
  </si>
  <si>
    <t>E1839</t>
  </si>
  <si>
    <t>E1759</t>
  </si>
  <si>
    <t>E2341</t>
  </si>
  <si>
    <t>E1035</t>
  </si>
  <si>
    <t>13-03-2022</t>
  </si>
  <si>
    <t>E1809</t>
  </si>
  <si>
    <t>E2163</t>
  </si>
  <si>
    <t>13-10-2024</t>
  </si>
  <si>
    <t>E1905</t>
  </si>
  <si>
    <t>E1801</t>
  </si>
  <si>
    <t>04-07-2019</t>
  </si>
  <si>
    <t>E1097</t>
  </si>
  <si>
    <t>E2108</t>
  </si>
  <si>
    <t>24-03-2021</t>
  </si>
  <si>
    <t>E1447</t>
  </si>
  <si>
    <t>E1475</t>
  </si>
  <si>
    <t>24-11-2019</t>
  </si>
  <si>
    <t>E1367</t>
  </si>
  <si>
    <t>06-06-2024</t>
  </si>
  <si>
    <t>E2459</t>
  </si>
  <si>
    <t>E1761</t>
  </si>
  <si>
    <t>29-07-2023</t>
  </si>
  <si>
    <t>E1919</t>
  </si>
  <si>
    <t>E2426</t>
  </si>
  <si>
    <t>06-04-2020</t>
  </si>
  <si>
    <t>E1760</t>
  </si>
  <si>
    <t>09-02-2021</t>
  </si>
  <si>
    <t>E1393</t>
  </si>
  <si>
    <t>E2296</t>
  </si>
  <si>
    <t>E1507</t>
  </si>
  <si>
    <t>E1435</t>
  </si>
  <si>
    <t>28-07-2019</t>
  </si>
  <si>
    <t>E1649</t>
  </si>
  <si>
    <t>E1943</t>
  </si>
  <si>
    <t>15-09-2021</t>
  </si>
  <si>
    <t>E2232</t>
  </si>
  <si>
    <t>13-02-2019</t>
  </si>
  <si>
    <t>E2344</t>
  </si>
  <si>
    <t>E2492</t>
  </si>
  <si>
    <t>12-03-2019</t>
  </si>
  <si>
    <t>E1133</t>
  </si>
  <si>
    <t>E2075</t>
  </si>
  <si>
    <t>E1973</t>
  </si>
  <si>
    <t>02-11-2025</t>
  </si>
  <si>
    <t>26-03-2026</t>
  </si>
  <si>
    <t>E2263</t>
  </si>
  <si>
    <t>28-04-2026</t>
  </si>
  <si>
    <t>E1451</t>
  </si>
  <si>
    <t>E1032</t>
  </si>
  <si>
    <t>17-02-2020</t>
  </si>
  <si>
    <t>16-03-2022</t>
  </si>
  <si>
    <t>E1122</t>
  </si>
  <si>
    <t>17-05-2024</t>
  </si>
  <si>
    <t>09-03-2025</t>
  </si>
  <si>
    <t>E2236</t>
  </si>
  <si>
    <t>02-06-2022</t>
  </si>
  <si>
    <t>E2376</t>
  </si>
  <si>
    <t>02-02-2023</t>
  </si>
  <si>
    <t>E2327</t>
  </si>
  <si>
    <t>01-07-2020</t>
  </si>
  <si>
    <t>E2113</t>
  </si>
  <si>
    <t>16-02-2021</t>
  </si>
  <si>
    <t>E2348</t>
  </si>
  <si>
    <t>06-11-2021</t>
  </si>
  <si>
    <t>E1256</t>
  </si>
  <si>
    <t>E1893</t>
  </si>
  <si>
    <t>01-11-2023</t>
  </si>
  <si>
    <t>E1360</t>
  </si>
  <si>
    <t>E1052</t>
  </si>
  <si>
    <t>E1876</t>
  </si>
  <si>
    <t>05-05-2023</t>
  </si>
  <si>
    <t>E1939</t>
  </si>
  <si>
    <t>E1773</t>
  </si>
  <si>
    <t>E2127</t>
  </si>
  <si>
    <t>11-02-2019</t>
  </si>
  <si>
    <t>E2220</t>
  </si>
  <si>
    <t>25-05-2021</t>
  </si>
  <si>
    <t>E1680</t>
  </si>
  <si>
    <t>E1806</t>
  </si>
  <si>
    <t>E1125</t>
  </si>
  <si>
    <t>16-04-2019</t>
  </si>
  <si>
    <t>E1405</t>
  </si>
  <si>
    <t>24-04-2020</t>
  </si>
  <si>
    <t>E1731</t>
  </si>
  <si>
    <t>07-03-2022</t>
  </si>
  <si>
    <t>E2312</t>
  </si>
  <si>
    <t>01-06-2021</t>
  </si>
  <si>
    <t>E1832</t>
  </si>
  <si>
    <t>E2072</t>
  </si>
  <si>
    <t>10-09-2025</t>
  </si>
  <si>
    <t>E1726</t>
  </si>
  <si>
    <t>E1588</t>
  </si>
  <si>
    <t>30-05-2020</t>
  </si>
  <si>
    <t>E1608</t>
  </si>
  <si>
    <t>E1434</t>
  </si>
  <si>
    <t>14-07-2024</t>
  </si>
  <si>
    <t>E1675</t>
  </si>
  <si>
    <t>26-01-2025</t>
  </si>
  <si>
    <t>E2288</t>
  </si>
  <si>
    <t>E1361</t>
  </si>
  <si>
    <t>E2100</t>
  </si>
  <si>
    <t>E1467</t>
  </si>
  <si>
    <t>E1300</t>
  </si>
  <si>
    <t>11-05-2023</t>
  </si>
  <si>
    <t>E1494</t>
  </si>
  <si>
    <t>E1528</t>
  </si>
  <si>
    <t>20-08-2024</t>
  </si>
  <si>
    <t>23-10-2024</t>
  </si>
  <si>
    <t>E2193</t>
  </si>
  <si>
    <t>29-06-2023</t>
  </si>
  <si>
    <t>Sum of MonthlyIncome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</si>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</sst>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"/>
    <numFmt numFmtId="181" formatCode="dd/mm/yyyy"/>
    <numFmt numFmtId="182" formatCode="&quot;₹&quot;#,##0.00_);[Red]\(&quot;₹&quot;#,##0.00\)"/>
    <numFmt numFmtId="183" formatCode="m/d/yyyy;@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8860B"/>
        <bgColor rgb="FFB8860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80" fontId="1" fillId="2" borderId="0" xfId="0" applyNumberFormat="1" applyFont="1" applyFill="1" applyAlignment="1">
      <alignment horizontal="center"/>
    </xf>
    <xf numFmtId="0" fontId="2" fillId="0" borderId="0" xfId="0" applyFont="1"/>
    <xf numFmtId="181" fontId="2" fillId="0" borderId="0" xfId="0" applyNumberFormat="1" applyFont="1"/>
    <xf numFmtId="182" fontId="2" fillId="0" borderId="0" xfId="0" applyNumberFormat="1" applyFont="1"/>
    <xf numFmtId="183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[hr_analytics_raw_data.xlsx]RawData!PivotTable1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RawData!$B$1513:$B$1514</c:f>
              <c:strCache>
                <c:ptCount val="1"/>
                <c:pt idx="0">
                  <c:v>Female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RawData!$A$1515:$A$1521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Others</c:v>
                </c:pt>
                <c:pt idx="5">
                  <c:v>Sales</c:v>
                </c:pt>
              </c:strCache>
            </c:strRef>
          </c:cat>
          <c:val>
            <c:numRef>
              <c:f>RawData!$B$1515:$B$1521</c:f>
              <c:numCache>
                <c:formatCode>General</c:formatCode>
                <c:ptCount val="6"/>
                <c:pt idx="0">
                  <c:v>9019441</c:v>
                </c:pt>
                <c:pt idx="1">
                  <c:v>4221488</c:v>
                </c:pt>
                <c:pt idx="2">
                  <c:v>5849492</c:v>
                </c:pt>
                <c:pt idx="3">
                  <c:v>4304075</c:v>
                </c:pt>
                <c:pt idx="4">
                  <c:v>1969898</c:v>
                </c:pt>
                <c:pt idx="5">
                  <c:v>8129925</c:v>
                </c:pt>
              </c:numCache>
            </c:numRef>
          </c:val>
        </c:ser>
        <c:ser>
          <c:idx val="1"/>
          <c:order val="1"/>
          <c:tx>
            <c:strRef>
              <c:f>RawData!$C$1513:$C$1514</c:f>
              <c:strCache>
                <c:ptCount val="1"/>
                <c:pt idx="0">
                  <c:v>Male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RawData!$A$1515:$A$1521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Others</c:v>
                </c:pt>
                <c:pt idx="5">
                  <c:v>Sales</c:v>
                </c:pt>
              </c:strCache>
            </c:strRef>
          </c:cat>
          <c:val>
            <c:numRef>
              <c:f>RawData!$C$1515:$C$1521</c:f>
              <c:numCache>
                <c:formatCode>General</c:formatCode>
                <c:ptCount val="6"/>
                <c:pt idx="0">
                  <c:v>13139197</c:v>
                </c:pt>
                <c:pt idx="1">
                  <c:v>6520771</c:v>
                </c:pt>
                <c:pt idx="2">
                  <c:v>8268724</c:v>
                </c:pt>
                <c:pt idx="3">
                  <c:v>7578248</c:v>
                </c:pt>
                <c:pt idx="4">
                  <c:v>3074002</c:v>
                </c:pt>
                <c:pt idx="5">
                  <c:v>11316050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34f2d3-6409-4005-a98e-8a120f6d1d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92075</xdr:colOff>
      <xdr:row>1515</xdr:row>
      <xdr:rowOff>50800</xdr:rowOff>
    </xdr:from>
    <xdr:to>
      <xdr:col>12</xdr:col>
      <xdr:colOff>323850</xdr:colOff>
      <xdr:row>1529</xdr:row>
      <xdr:rowOff>127000</xdr:rowOff>
    </xdr:to>
    <xdr:graphicFrame>
      <xdr:nvGraphicFramePr>
        <xdr:cNvPr id="2" name="Chart 1"/>
        <xdr:cNvGraphicFramePr/>
      </xdr:nvGraphicFramePr>
      <xdr:xfrm>
        <a:off x="6388100" y="288658300"/>
        <a:ext cx="6283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7.7085069444" refreshedBy="Admin" recordCount="1508">
  <cacheSource type="worksheet">
    <worksheetSource ref="A1:K1509" sheet="RawData"/>
  </cacheSource>
  <cacheFields count="11">
    <cacheField name="EmployeeID" numFmtId="0">
      <sharedItems count="1500">
        <s v="E2486"/>
        <s v="E2396"/>
        <s v="E2497"/>
        <s v="E1388"/>
        <s v="E1458"/>
        <s v="E2138"/>
        <s v="E1654"/>
        <s v="E2216"/>
        <s v="E2464"/>
        <s v="E1015"/>
        <s v="E1554"/>
        <s v="E2056"/>
        <s v="E1840"/>
        <s v="E1046"/>
        <s v="E2218"/>
        <s v="E2285"/>
        <s v="E2194"/>
        <s v="E1682"/>
        <s v="E2140"/>
        <s v="E2027"/>
        <s v="E1504"/>
        <s v="E1182"/>
        <s v="E2313"/>
        <s v="E2040"/>
        <s v="E1941"/>
        <s v="E1368"/>
        <s v="E1247"/>
        <s v="E1264"/>
        <s v="E1530"/>
        <s v="E1802"/>
        <s v="E1557"/>
        <s v="E2401"/>
        <s v="E1860"/>
        <s v="E1702"/>
        <s v="E1404"/>
        <s v="E1615"/>
        <s v="E1146"/>
        <s v="E1722"/>
        <s v="E1810"/>
        <s v="E1371"/>
        <s v="E1287"/>
        <s v="E1482"/>
        <s v="E1733"/>
        <s v="E1319"/>
        <s v="E1471"/>
        <s v="E1738"/>
        <s v="E2238"/>
        <s v="E1962"/>
        <s v="E2500"/>
        <s v="E1138"/>
        <s v="E1594"/>
        <s v="E1771"/>
        <s v="E2243"/>
        <s v="E1625"/>
        <s v="E1653"/>
        <s v="E1598"/>
        <s v="E2169"/>
        <s v="E2415"/>
        <s v="E1143"/>
        <s v="E2122"/>
        <s v="E1574"/>
        <s v="E1797"/>
        <s v="E1506"/>
        <s v="E1231"/>
        <s v="E2298"/>
        <s v="E1904"/>
        <s v="E2255"/>
        <s v="E2434"/>
        <s v="E1070"/>
        <s v="E1573"/>
        <s v="E2259"/>
        <s v="E1364"/>
        <s v="E1782"/>
        <s v="E1820"/>
        <s v="E1644"/>
        <s v="E1995"/>
        <s v="E2314"/>
        <s v="E2271"/>
        <s v="E1072"/>
        <s v="E2411"/>
        <s v="E1922"/>
        <s v="E1174"/>
        <s v="E1660"/>
        <s v="E2445"/>
        <s v="E1069"/>
        <s v="E1059"/>
        <s v="E1274"/>
        <s v="E1478"/>
        <s v="E2109"/>
        <s v="E1609"/>
        <s v="E2101"/>
        <s v="E1342"/>
        <s v="E1828"/>
        <s v="E2097"/>
        <s v="E1952"/>
        <s v="E1817"/>
        <s v="E1814"/>
        <s v="E2228"/>
        <s v="E1249"/>
        <s v="E1198"/>
        <s v="E2377"/>
        <s v="E1406"/>
        <s v="E1628"/>
        <s v="E2267"/>
        <s v="E1279"/>
        <s v="E1158"/>
        <s v="E2444"/>
        <s v="E2211"/>
        <s v="E1749"/>
        <s v="E2484"/>
        <s v="E1908"/>
        <s v="E2495"/>
        <s v="E2435"/>
        <s v="E1102"/>
        <s v="E2016"/>
        <s v="E1811"/>
        <s v="E1533"/>
        <s v="E1729"/>
        <s v="E1334"/>
        <s v="E1843"/>
        <s v="E2026"/>
        <s v="E1783"/>
        <s v="E1144"/>
        <s v="E2212"/>
        <s v="E1463"/>
        <s v="E1790"/>
        <s v="E2458"/>
        <s v="E2083"/>
        <s v="E1983"/>
        <s v="E2093"/>
        <s v="E1461"/>
        <s v="E1284"/>
        <s v="E1066"/>
        <s v="E2045"/>
        <s v="E2488"/>
        <s v="E1200"/>
        <s v="E2079"/>
        <s v="E1572"/>
        <s v="E1240"/>
        <s v="E2063"/>
        <s v="E1757"/>
        <s v="E2373"/>
        <s v="E1227"/>
        <s v="E1401"/>
        <s v="E1664"/>
        <s v="E2300"/>
        <s v="E1982"/>
        <s v="E1403"/>
        <s v="E2406"/>
        <s v="E1536"/>
        <s v="E1780"/>
        <s v="E1477"/>
        <s v="E2210"/>
        <s v="E1047"/>
        <s v="E2483"/>
        <s v="E1652"/>
        <s v="E2491"/>
        <s v="E2422"/>
        <s v="E1772"/>
        <s v="E2002"/>
        <s v="E1412"/>
        <s v="E1205"/>
        <s v="E2278"/>
        <s v="E2155"/>
        <s v="E2049"/>
        <s v="E1769"/>
        <s v="E1742"/>
        <s v="E2227"/>
        <s v="E2308"/>
        <s v="E2125"/>
        <s v="E2472"/>
        <s v="E2264"/>
        <s v="E2378"/>
        <s v="E1902"/>
        <s v="E2335"/>
        <s v="E1288"/>
        <s v="E2159"/>
        <s v="E1728"/>
        <s v="E1281"/>
        <s v="E1115"/>
        <s v="E1509"/>
        <s v="E2009"/>
        <s v="E1985"/>
        <s v="E1878"/>
        <s v="E1018"/>
        <s v="E1854"/>
        <s v="E2180"/>
        <s v="E2099"/>
        <s v="E2189"/>
        <s v="E1456"/>
        <s v="E2427"/>
        <s v="E1874"/>
        <s v="E2043"/>
        <s v="E2162"/>
        <s v="E2317"/>
        <s v="E1689"/>
        <s v="E1787"/>
        <s v="E1034"/>
        <s v="E2485"/>
        <s v="E1580"/>
        <s v="E1242"/>
        <s v="E1357"/>
        <s v="E2328"/>
        <s v="E1350"/>
        <s v="E1679"/>
        <s v="E1848"/>
        <s v="E2171"/>
        <s v="E1269"/>
        <s v="E2352"/>
        <s v="E1815"/>
        <s v="E1337"/>
        <s v="E2214"/>
        <s v="E1915"/>
        <s v="E1892"/>
        <s v="E1803"/>
        <s v="E1561"/>
        <s v="E1273"/>
        <s v="E2028"/>
        <s v="E1094"/>
        <s v="E2004"/>
        <s v="E1795"/>
        <s v="E1730"/>
        <s v="E1872"/>
        <s v="E1312"/>
        <s v="E1808"/>
        <s v="E2413"/>
        <s v="E1162"/>
        <s v="E1981"/>
        <s v="E1906"/>
        <s v="E2302"/>
        <s v="E2105"/>
        <s v="E1113"/>
        <s v="E1520"/>
        <s v="E1110"/>
        <s v="E2035"/>
        <s v="E1542"/>
        <s v="E1189"/>
        <s v="E2405"/>
        <s v="E1355"/>
        <s v="E2130"/>
        <s v="E1324"/>
        <s v="E1370"/>
        <s v="E2471"/>
        <s v="E1739"/>
        <s v="E1453"/>
        <s v="E2258"/>
        <s v="E1799"/>
        <s v="E2254"/>
        <s v="E1333"/>
        <s v="E1019"/>
        <s v="E1419"/>
        <s v="E1184"/>
        <s v="E1619"/>
        <s v="E1386"/>
        <s v="E1308"/>
        <s v="E1676"/>
        <s v="E1548"/>
        <s v="E2355"/>
        <s v="E1309"/>
        <s v="E2015"/>
        <s v="E1758"/>
        <s v="E1667"/>
        <s v="E1465"/>
        <s v="E2135"/>
        <s v="E1257"/>
        <s v="E1213"/>
        <s v="E1260"/>
        <s v="E2230"/>
        <s v="E1422"/>
        <s v="E2062"/>
        <s v="E1236"/>
        <s v="E1366"/>
        <s v="E2334"/>
        <s v="E2292"/>
        <s v="E2293"/>
        <s v="E1022"/>
        <s v="E1847"/>
        <s v="E1527"/>
        <s v="E1306"/>
        <s v="E1673"/>
        <s v="E2294"/>
        <s v="E1071"/>
        <s v="E2353"/>
        <s v="E2400"/>
        <s v="E1663"/>
        <s v="E1697"/>
        <s v="E1021"/>
        <s v="E1732"/>
        <s v="E2203"/>
        <s v="E2277"/>
        <s v="E1665"/>
        <s v="E2316"/>
        <s v="E1850"/>
        <s v="E1129"/>
        <s v="E2199"/>
        <s v="E1085"/>
        <s v="E2197"/>
        <s v="E1399"/>
        <s v="E1488"/>
        <s v="E2060"/>
        <s v="E1473"/>
        <s v="E2007"/>
        <s v="E1480"/>
        <s v="E2078"/>
        <s v="E1864"/>
        <s v="E2461"/>
        <s v="E1008"/>
        <s v="E1576"/>
        <s v="E1826"/>
        <s v="E2437"/>
        <s v="E1581"/>
        <s v="E1353"/>
        <s v="E1774"/>
        <s v="E1103"/>
        <s v="E2246"/>
        <s v="E2269"/>
        <s v="E1965"/>
        <s v="E1048"/>
        <s v="E2280"/>
        <s v="E1186"/>
        <s v="E1172"/>
        <s v="E1712"/>
        <s v="E1844"/>
        <s v="E2091"/>
        <s v="E1432"/>
        <s v="E1062"/>
        <s v="E2178"/>
        <s v="E1493"/>
        <s v="E1926"/>
        <s v="E2449"/>
        <s v="E1286"/>
        <s v="E1195"/>
        <s v="E1362"/>
        <s v="E2309"/>
        <s v="E1924"/>
        <s v="E1545"/>
        <s v="E2039"/>
        <s v="E2283"/>
        <s v="E2151"/>
        <s v="E2133"/>
        <s v="E1766"/>
        <s v="E1956"/>
        <s v="E2343"/>
        <s v="E2147"/>
        <s v="E2242"/>
        <s v="E2339"/>
        <s v="E2106"/>
        <s v="E1706"/>
        <s v="E1128"/>
        <s v="E1659"/>
        <s v="E1720"/>
        <s v="E1170"/>
        <s v="E1120"/>
        <s v="E1969"/>
        <s v="E1552"/>
        <s v="E1700"/>
        <s v="E2157"/>
        <s v="E1499"/>
        <s v="E1437"/>
        <s v="E2397"/>
        <s v="E1201"/>
        <s v="E2357"/>
        <s v="E1250"/>
        <s v="E1316"/>
        <s v="E1147"/>
        <s v="E2142"/>
        <s v="E1721"/>
        <s v="E1418"/>
        <s v="E2433"/>
        <s v="E1142"/>
        <s v="E2168"/>
        <s v="E1469"/>
        <s v="E1917"/>
        <s v="E1356"/>
        <s v="E1485"/>
        <s v="E1336"/>
        <s v="E1068"/>
        <s v="E2360"/>
        <s v="E2466"/>
        <s v="E2047"/>
        <s v="E1083"/>
        <s v="E2019"/>
        <s v="E1883"/>
        <s v="E1996"/>
        <s v="E1016"/>
        <s v="E1159"/>
        <s v="E1420"/>
        <s v="E1789"/>
        <s v="E2215"/>
        <s v="E2392"/>
        <s v="E1543"/>
        <s v="E1565"/>
        <s v="E2146"/>
        <s v="E2331"/>
        <s v="E1076"/>
        <s v="E1551"/>
        <s v="E2475"/>
        <s v="E1466"/>
        <s v="E1585"/>
        <s v="E1100"/>
        <s v="E1329"/>
        <s v="E1646"/>
        <s v="E2307"/>
        <s v="E1084"/>
        <s v="E1003"/>
        <s v="E1756"/>
        <s v="E2066"/>
        <s v="E2073"/>
        <s v="E2370"/>
        <s v="E2038"/>
        <s v="E1994"/>
        <s v="E1216"/>
        <s v="E2250"/>
        <s v="E1449"/>
        <s v="E1558"/>
        <s v="E1081"/>
        <s v="E1038"/>
        <s v="E2417"/>
        <s v="E1550"/>
        <s v="E1524"/>
        <s v="E1601"/>
        <s v="E1497"/>
        <s v="E1183"/>
        <s v="E1375"/>
        <s v="E1495"/>
        <s v="E2198"/>
        <s v="E1067"/>
        <s v="E2372"/>
        <s v="E1852"/>
        <s v="E2191"/>
        <s v="E1408"/>
        <s v="E1898"/>
        <s v="E2126"/>
        <s v="E1989"/>
        <s v="E1173"/>
        <s v="E1785"/>
        <s v="E2265"/>
        <s v="E1331"/>
        <s v="E1285"/>
        <s v="E2223"/>
        <s v="E1666"/>
        <s v="E2183"/>
        <s v="E1718"/>
        <s v="E2383"/>
        <s v="E1233"/>
        <s v="E1949"/>
        <s v="E2489"/>
        <s v="E2399"/>
        <s v="E1607"/>
        <s v="E2222"/>
        <s v="E1454"/>
        <s v="E1526"/>
        <s v="E1604"/>
        <s v="E1927"/>
        <s v="E1505"/>
        <s v="E1849"/>
        <s v="E2474"/>
        <s v="E1271"/>
        <s v="E1824"/>
        <s v="E1875"/>
        <s v="E1668"/>
        <s v="E2213"/>
        <s v="E1061"/>
        <s v="E1202"/>
        <s v="E1266"/>
        <s v="E1489"/>
        <s v="E1678"/>
        <s v="E1400"/>
        <s v="E2206"/>
        <s v="E1280"/>
        <s v="E1302"/>
        <s v="E1691"/>
        <s v="E2452"/>
        <s v="E2345"/>
        <s v="E1029"/>
        <s v="E1130"/>
        <s v="E1241"/>
        <s v="E1569"/>
        <s v="E1705"/>
        <s v="E1862"/>
        <s v="E1650"/>
        <s v="E1889"/>
        <s v="E1513"/>
        <s v="E2008"/>
        <s v="E1452"/>
        <s v="E1744"/>
        <s v="E1503"/>
        <s v="E2144"/>
        <s v="E1127"/>
        <s v="E2177"/>
        <s v="E1348"/>
        <s v="E2476"/>
        <s v="E1735"/>
        <s v="E1991"/>
        <s v="E1602"/>
        <s v="E1764"/>
        <s v="E1392"/>
        <s v="E2297"/>
        <s v="E1117"/>
        <s v="E1105"/>
        <s v="E2225"/>
        <s v="E1804"/>
        <s v="E1380"/>
        <s v="E1692"/>
        <s v="E1698"/>
        <s v="E2408"/>
        <s v="E1888"/>
        <s v="E1352"/>
        <s v="E1294"/>
        <s v="E1587"/>
        <s v="E2090"/>
        <s v="E2257"/>
        <s v="E1978"/>
        <s v="E1092"/>
        <s v="E1024"/>
        <s v="E1725"/>
        <s v="E2462"/>
        <s v="E1091"/>
        <s v="E1709"/>
        <s v="E1541"/>
        <s v="E1846"/>
        <s v="E1858"/>
        <s v="E2102"/>
        <s v="E1929"/>
        <s v="E1979"/>
        <s v="E1591"/>
        <s v="E2123"/>
        <s v="E2289"/>
        <s v="E2311"/>
        <s v="E1583"/>
        <s v="E1626"/>
        <s v="E1224"/>
        <s v="E2085"/>
        <s v="E1214"/>
        <s v="E1736"/>
        <s v="E1882"/>
        <s v="E2128"/>
        <s v="E1822"/>
        <s v="E1078"/>
        <s v="E1641"/>
        <s v="E1001"/>
        <s v="E1389"/>
        <s v="E2336"/>
        <s v="E1440"/>
        <s v="E2431"/>
        <s v="E2231"/>
        <s v="E1825"/>
        <s v="E1796"/>
        <s v="E2240"/>
        <s v="E2188"/>
        <s v="E2402"/>
        <s v="E1298"/>
        <s v="E1546"/>
        <s v="E1544"/>
        <s v="E1278"/>
        <s v="E2356"/>
        <s v="E1323"/>
        <s v="E1491"/>
        <s v="E1984"/>
        <s v="E1777"/>
        <s v="E2156"/>
        <s v="E1953"/>
        <s v="E2480"/>
        <s v="E2380"/>
        <s v="E2132"/>
        <s v="E2374"/>
        <s v="E1930"/>
        <s v="E2184"/>
        <s v="E2022"/>
        <s v="E2141"/>
        <s v="E2320"/>
        <s v="E1884"/>
        <s v="E2253"/>
        <s v="E1695"/>
        <s v="E1007"/>
        <s v="E1310"/>
        <s v="E2096"/>
        <s v="E2337"/>
        <s v="E1282"/>
        <s v="E2221"/>
        <s v="E2137"/>
        <s v="E1149"/>
        <s v="E1398"/>
        <s v="E1612"/>
        <s v="E1328"/>
        <s v="E1487"/>
        <s v="E1578"/>
        <s v="E1970"/>
        <s v="E1523"/>
        <s v="E2219"/>
        <s v="E1613"/>
        <s v="E1272"/>
        <s v="E1845"/>
        <s v="E1599"/>
        <s v="E1087"/>
        <s v="E1165"/>
        <s v="E2301"/>
        <s v="E1620"/>
        <s v="E1556"/>
        <s v="E1194"/>
        <s v="E1327"/>
        <s v="E1344"/>
        <s v="E1109"/>
        <s v="E1156"/>
        <s v="E1531"/>
        <s v="E2202"/>
        <s v="E1376"/>
        <s v="E2359"/>
        <s v="E1745"/>
        <s v="E1481"/>
        <s v="E1693"/>
        <s v="E1683"/>
        <s v="E2080"/>
        <s v="E2428"/>
        <s v="E2274"/>
        <s v="E1472"/>
        <s v="E2394"/>
        <s v="E1017"/>
        <s v="E1740"/>
        <s v="E2361"/>
        <s v="E1135"/>
        <s v="E1002"/>
        <s v="E1438"/>
        <s v="E2000"/>
        <s v="E1320"/>
        <s v="E1964"/>
        <s v="E1887"/>
        <s v="E2276"/>
        <s v="E2419"/>
        <s v="E1322"/>
        <s v="E1568"/>
        <s v="E1871"/>
        <s v="E1252"/>
        <s v="E1867"/>
        <s v="E2087"/>
        <s v="E2347"/>
        <s v="E1063"/>
        <s v="E1968"/>
        <s v="E1090"/>
        <s v="E2456"/>
        <s v="E1696"/>
        <s v="E1157"/>
        <s v="E1442"/>
        <s v="E2260"/>
        <s v="E2325"/>
        <s v="E1415"/>
        <s v="E1997"/>
        <s v="E1553"/>
        <s v="E1512"/>
        <s v="E2386"/>
        <s v="E1522"/>
        <s v="E2145"/>
        <s v="E2287"/>
        <s v="E1716"/>
        <s v="E1474"/>
        <s v="E2032"/>
        <s v="E1737"/>
        <s v="E2281"/>
        <s v="E1181"/>
        <s v="E2368"/>
        <s v="E2465"/>
        <s v="E2363"/>
        <s v="E1402"/>
        <s v="E1788"/>
        <s v="E1346"/>
        <s v="E1746"/>
        <s v="E1251"/>
        <s v="E1296"/>
        <s v="E2322"/>
        <s v="E1954"/>
        <s v="E1827"/>
        <s v="E1263"/>
        <s v="E1121"/>
        <s v="E2448"/>
        <s v="E2273"/>
        <s v="E1220"/>
        <s v="E1268"/>
        <s v="E1369"/>
        <s v="E1193"/>
        <s v="E1291"/>
        <s v="E1987"/>
        <s v="E2375"/>
        <s v="E2069"/>
        <s v="E2385"/>
        <s v="E1547"/>
        <s v="E1075"/>
        <s v="E2217"/>
        <s v="E2440"/>
        <s v="E1253"/>
        <s v="E1433"/>
        <s v="E1863"/>
        <s v="E1597"/>
        <s v="E2409"/>
        <s v="E1012"/>
        <s v="E2182"/>
        <s v="E1655"/>
        <s v="E1961"/>
        <s v="E1972"/>
        <s v="E1210"/>
        <s v="E1762"/>
        <s v="E2172"/>
        <s v="E2323"/>
        <s v="E1180"/>
        <s v="E2037"/>
        <s v="E1514"/>
        <s v="E1313"/>
        <s v="E1441"/>
        <s v="E1622"/>
        <s v="E1161"/>
        <s v="E2412"/>
        <s v="E1377"/>
        <s v="E1206"/>
        <s v="E1289"/>
        <s v="E1057"/>
        <s v="E1685"/>
        <s v="E1385"/>
        <s v="E1501"/>
        <s v="E1910"/>
        <s v="E1830"/>
        <s v="E1232"/>
        <s v="E2261"/>
        <s v="E1426"/>
        <s v="E2204"/>
        <s v="E1311"/>
        <s v="E1590"/>
        <s v="E1238"/>
        <s v="E1237"/>
        <s v="E1427"/>
        <s v="E2358"/>
        <s v="E2342"/>
        <s v="E1582"/>
        <s v="E2124"/>
        <s v="E1176"/>
        <s v="E2284"/>
        <s v="E1793"/>
        <s v="E1946"/>
        <s v="E1457"/>
        <s v="E1791"/>
        <s v="E2493"/>
        <s v="E2165"/>
        <s v="E2451"/>
        <s v="E1318"/>
        <s v="E1775"/>
        <s v="E1955"/>
        <s v="E1672"/>
        <s v="E1986"/>
        <s v="E1153"/>
        <s v="E1559"/>
        <s v="E2234"/>
        <s v="E2367"/>
        <s v="E2469"/>
        <s v="E1947"/>
        <s v="E2272"/>
        <s v="E2365"/>
        <s v="E1753"/>
        <s v="E1800"/>
        <s v="E2349"/>
        <s v="E1575"/>
        <s v="E2306"/>
        <s v="E1265"/>
        <s v="E1292"/>
        <s v="E2291"/>
        <s v="E1600"/>
        <s v="E1950"/>
        <s v="E1155"/>
        <s v="E1931"/>
        <s v="E1023"/>
        <s v="E1836"/>
        <s v="E2414"/>
        <s v="E2115"/>
        <s v="E1992"/>
        <s v="E2136"/>
        <s v="E2404"/>
        <s v="E2112"/>
        <s v="E1259"/>
        <s v="E1228"/>
        <s v="E1317"/>
        <s v="E2425"/>
        <s v="E1108"/>
        <s v="E2379"/>
        <s v="E2154"/>
        <s v="E1428"/>
        <s v="E1086"/>
        <s v="E2029"/>
        <s v="E1838"/>
        <s v="E2041"/>
        <s v="E1593"/>
        <s v="E1611"/>
        <s v="E2490"/>
        <s v="E1525"/>
        <s v="E1031"/>
        <s v="E1011"/>
        <s v="E1933"/>
        <s v="E1439"/>
        <s v="E1343"/>
        <s v="E1711"/>
        <s v="E2252"/>
        <s v="E1459"/>
        <s v="E2494"/>
        <s v="E1670"/>
        <s v="E2121"/>
        <s v="E1126"/>
        <s v="E1258"/>
        <s v="E2185"/>
        <s v="E1835"/>
        <s v="E1314"/>
        <s v="E2299"/>
        <s v="E2054"/>
        <s v="E1005"/>
        <s v="E2057"/>
        <s v="E1199"/>
        <s v="E1629"/>
        <s v="E1410"/>
        <s v="E2247"/>
        <s v="E1717"/>
        <s v="E2354"/>
        <s v="E1175"/>
        <s v="E2268"/>
        <s v="E2092"/>
        <s v="E1470"/>
        <s v="E1203"/>
        <s v="E1944"/>
        <s v="E1596"/>
        <s v="E1632"/>
        <s v="E1178"/>
        <s v="E1276"/>
        <s v="E1881"/>
        <s v="E1413"/>
        <s v="E1014"/>
        <s v="E1484"/>
        <s v="E2453"/>
        <s v="E2442"/>
        <s v="E1476"/>
        <s v="E1886"/>
        <s v="E1539"/>
        <s v="E1616"/>
        <s v="E1957"/>
        <s v="E1118"/>
        <s v="E1537"/>
        <s v="E2116"/>
        <s v="E2117"/>
        <s v="E1642"/>
        <s v="E1603"/>
        <s v="E2196"/>
        <s v="E2175"/>
        <s v="E2473"/>
        <s v="E1164"/>
        <s v="E1112"/>
        <s v="E1345"/>
        <s v="E2176"/>
        <s v="E2064"/>
        <s v="E1483"/>
        <s v="E2318"/>
        <s v="E1945"/>
        <s v="E1131"/>
        <s v="E2279"/>
        <s v="E2286"/>
        <s v="E1339"/>
        <s v="E1932"/>
        <s v="E2266"/>
        <s v="E1073"/>
        <s v="E1515"/>
        <s v="E1942"/>
        <s v="E1516"/>
        <s v="E2208"/>
        <s v="E1379"/>
        <s v="E1013"/>
        <s v="E1448"/>
        <s v="E1958"/>
        <s v="E1209"/>
        <s v="E1304"/>
        <s v="E1577"/>
        <s v="E1621"/>
        <s v="E1916"/>
        <s v="E2055"/>
        <s v="E1566"/>
        <s v="E2366"/>
        <s v="E1694"/>
        <s v="E2098"/>
        <s v="E1912"/>
        <s v="E1645"/>
        <s v="E1341"/>
        <s v="E2430"/>
        <s v="E1347"/>
        <s v="E2423"/>
        <s v="E2310"/>
        <s v="E1305"/>
        <s v="E1037"/>
        <s v="E1812"/>
        <s v="E1043"/>
        <s v="E1923"/>
        <s v="E1395"/>
        <s v="E1879"/>
        <s v="E2095"/>
        <s v="E2333"/>
        <s v="E1734"/>
        <s v="E1460"/>
        <s v="E1708"/>
        <s v="E1424"/>
        <s v="E2481"/>
        <s v="E1918"/>
        <s v="E1880"/>
        <s v="E1295"/>
        <s v="E1586"/>
        <s v="E1027"/>
        <s v="E1681"/>
        <s v="E2044"/>
        <s v="E2134"/>
        <s v="E1136"/>
        <s v="E1511"/>
        <s v="E1211"/>
        <s v="E2024"/>
        <s v="E1354"/>
        <s v="E2187"/>
        <s v="E2245"/>
        <s v="E1853"/>
        <s v="E1056"/>
        <s v="E1464"/>
        <s v="E2418"/>
        <s v="E2439"/>
        <s v="E1857"/>
        <s v="E1217"/>
        <s v="E2329"/>
        <s v="E1041"/>
        <s v="E1885"/>
        <s v="E1397"/>
        <s v="E2450"/>
        <s v="E2052"/>
        <s v="E2237"/>
        <s v="E2381"/>
        <s v="E2077"/>
        <s v="E2393"/>
        <s v="E1179"/>
        <s v="E1177"/>
        <s v="E1741"/>
        <s v="E1508"/>
        <s v="E1571"/>
        <s v="E1921"/>
        <s v="E2319"/>
        <s v="E1301"/>
        <s v="E2420"/>
        <s v="E1967"/>
        <s v="E1640"/>
        <s v="E1564"/>
        <s v="E2249"/>
        <s v="E1079"/>
        <s v="E1519"/>
        <s v="E2067"/>
        <s v="E1727"/>
        <s v="E1229"/>
        <s v="E1819"/>
        <s v="E2065"/>
        <s v="E1051"/>
        <s v="E1030"/>
        <s v="E1634"/>
        <s v="E1657"/>
        <s v="E1562"/>
        <s v="E2332"/>
        <s v="E1999"/>
        <s v="E2275"/>
        <s v="E2131"/>
        <s v="E1204"/>
        <s v="E1445"/>
        <s v="E1372"/>
        <s v="E1033"/>
        <s v="E2207"/>
        <s v="E2201"/>
        <s v="E1966"/>
        <s v="E2059"/>
        <s v="E1894"/>
        <s v="E1669"/>
        <s v="E2200"/>
        <s v="E2224"/>
        <s v="E1959"/>
        <s v="E1335"/>
        <s v="E1383"/>
        <s v="E2082"/>
        <s v="E2139"/>
        <s v="E1373"/>
        <s v="E1152"/>
        <s v="E1960"/>
        <s v="E1779"/>
        <s v="E1998"/>
        <s v="E1004"/>
        <s v="E2248"/>
        <s v="E1703"/>
        <s v="E1643"/>
        <s v="E1430"/>
        <s v="E2181"/>
        <s v="E2441"/>
        <s v="E2290"/>
        <s v="E1446"/>
        <s v="E1855"/>
        <s v="E2443"/>
        <s v="E1042"/>
        <s v="E1834"/>
        <s v="E1223"/>
        <s v="E1841"/>
        <s v="E2388"/>
        <s v="E1053"/>
        <s v="E1502"/>
        <s v="E1114"/>
        <s v="E1049"/>
        <s v="E1290"/>
        <s v="E1077"/>
        <s v="E1207"/>
        <s v="E1378"/>
        <s v="E1124"/>
        <s v="E1974"/>
        <s v="E2195"/>
        <s v="E2324"/>
        <s v="E1387"/>
        <s v="E1226"/>
        <s v="E2148"/>
        <s v="E1633"/>
        <s v="E1776"/>
        <s v="E1890"/>
        <s v="E1326"/>
        <s v="E1900"/>
        <s v="E1833"/>
        <s v="E1222"/>
        <s v="E2119"/>
        <s v="E2326"/>
        <s v="E1684"/>
        <s v="E2364"/>
        <s v="E1618"/>
        <s v="E1686"/>
        <s v="E1870"/>
        <s v="E1674"/>
        <s v="E1750"/>
        <s v="E2003"/>
        <s v="E2068"/>
        <s v="E1409"/>
        <s v="E1630"/>
        <s v="E2229"/>
        <s v="E1647"/>
        <s v="E1140"/>
        <s v="E2114"/>
        <s v="E1914"/>
        <s v="E1166"/>
        <s v="E2089"/>
        <s v="E1813"/>
        <s v="E1215"/>
        <s v="E1132"/>
        <s v="E1315"/>
        <s v="E1139"/>
        <s v="E2186"/>
        <s v="E1417"/>
        <s v="E2030"/>
        <s v="E1039"/>
        <s v="E1054"/>
        <s v="E1707"/>
        <s v="E1137"/>
        <s v="E2369"/>
        <s v="E1794"/>
        <s v="E1036"/>
        <s v="E1026"/>
        <s v="E1658"/>
        <s v="E1450"/>
        <s v="E1579"/>
        <s v="E1303"/>
        <s v="E2407"/>
        <s v="E2460"/>
        <s v="E2153"/>
        <s v="E2053"/>
        <s v="E2179"/>
        <s v="E1778"/>
        <s v="E2205"/>
        <s v="E1245"/>
        <s v="E1104"/>
        <s v="E1277"/>
        <s v="E1394"/>
        <s v="E1111"/>
        <s v="E1589"/>
        <s v="E1160"/>
        <s v="E1971"/>
        <s v="E1748"/>
        <s v="E2166"/>
        <s v="E2390"/>
        <s v="E1661"/>
        <s v="E2149"/>
        <s v="E1340"/>
        <s v="E1330"/>
        <s v="E1134"/>
        <s v="E1638"/>
        <s v="E1168"/>
        <s v="E2382"/>
        <s v="E1928"/>
        <s v="E1861"/>
        <s v="E2021"/>
        <s v="E2467"/>
        <s v="E1025"/>
        <s v="E1807"/>
        <s v="E2398"/>
        <s v="E1444"/>
        <s v="E1151"/>
        <s v="E2304"/>
        <s v="E1095"/>
        <s v="E2340"/>
        <s v="E1218"/>
        <s v="E1382"/>
        <s v="E2048"/>
        <s v="E1781"/>
        <s v="E1901"/>
        <s v="E2421"/>
        <s v="E1865"/>
        <s v="E1293"/>
        <s v="E1713"/>
        <s v="E1101"/>
        <s v="E2050"/>
        <s v="E1784"/>
        <s v="E2192"/>
        <s v="E1490"/>
        <s v="E1701"/>
        <s v="E2143"/>
        <s v="E1751"/>
        <s v="E1963"/>
        <s v="E2013"/>
        <s v="E1243"/>
        <s v="E1169"/>
        <s v="E1074"/>
        <s v="E1560"/>
        <s v="E2305"/>
        <s v="E2479"/>
        <s v="E2256"/>
        <s v="E1119"/>
        <s v="E1521"/>
        <s v="E1714"/>
        <s v="E1993"/>
        <s v="E1006"/>
        <s v="E1255"/>
        <s v="E2094"/>
        <s v="E1384"/>
        <s v="E2103"/>
        <s v="E1517"/>
        <s v="E1055"/>
        <s v="E1468"/>
        <s v="E1267"/>
        <s v="E2034"/>
        <s v="E1584"/>
        <s v="E1767"/>
        <s v="E1538"/>
        <s v="E2455"/>
        <s v="E1060"/>
        <s v="E2164"/>
        <s v="E1167"/>
        <s v="E2251"/>
        <s v="E1816"/>
        <s v="E1332"/>
        <s v="E1248"/>
        <s v="E1374"/>
        <s v="E2190"/>
        <s v="E1500"/>
        <s v="E2167"/>
        <s v="E1637"/>
        <s v="E1617"/>
        <s v="E2161"/>
        <s v="E1567"/>
        <s v="E1235"/>
        <s v="E1627"/>
        <s v="E1431"/>
        <s v="E2011"/>
        <s v="E2477"/>
        <s v="E1192"/>
        <s v="E2174"/>
        <s v="E1436"/>
        <s v="E1837"/>
        <s v="E2241"/>
        <s v="E2017"/>
        <s v="E1185"/>
        <s v="E1688"/>
        <s v="E1639"/>
        <s v="E1570"/>
        <s v="E1934"/>
        <s v="E2170"/>
        <s v="E1534"/>
        <s v="E2487"/>
        <s v="E1743"/>
        <s v="E1197"/>
        <s v="E2499"/>
        <s v="E1496"/>
        <s v="E1592"/>
        <s v="E1937"/>
        <s v="E2042"/>
        <s v="E1980"/>
        <s v="E1381"/>
        <s v="E1028"/>
        <s v="E1396"/>
        <s v="E1321"/>
        <s v="E1148"/>
        <s v="E1798"/>
        <s v="E1624"/>
        <s v="E1239"/>
        <s v="E2010"/>
        <s v="E1911"/>
        <s v="E1896"/>
        <s v="E2321"/>
        <s v="E1107"/>
        <s v="E1351"/>
        <s v="E1651"/>
        <s v="E1390"/>
        <s v="E2005"/>
        <s v="E2118"/>
        <s v="E1555"/>
        <s v="E2424"/>
        <s v="E1171"/>
        <s v="E2239"/>
        <s v="E1307"/>
        <s v="E1416"/>
        <s v="E2470"/>
        <s v="E2282"/>
        <s v="E1429"/>
        <s v="E1187"/>
        <s v="E2006"/>
        <s v="E1909"/>
        <s v="E1270"/>
        <s v="E1868"/>
        <s v="E1631"/>
        <s v="E1951"/>
        <s v="E1163"/>
        <s v="E1414"/>
        <s v="E2330"/>
        <s v="E1096"/>
        <s v="E1099"/>
        <s v="E2031"/>
        <s v="E1877"/>
        <s v="E1818"/>
        <s v="E1823"/>
        <s v="E1208"/>
        <s v="E1975"/>
        <s v="E1687"/>
        <s v="E1873"/>
        <s v="E1246"/>
        <s v="E1230"/>
        <s v="E1907"/>
        <s v="E1009"/>
        <s v="E1897"/>
        <s v="E2403"/>
        <s v="E2387"/>
        <s v="E2432"/>
        <s v="E1866"/>
        <s v="E1792"/>
        <s v="E2023"/>
        <s v="E1190"/>
        <s v="E1261"/>
        <s v="E1145"/>
        <s v="E1829"/>
        <s v="E1699"/>
        <s v="E1920"/>
        <s v="E2395"/>
        <s v="E1938"/>
        <s v="E2036"/>
        <s v="E2362"/>
        <s v="E1891"/>
        <s v="E1595"/>
        <s v="E1532"/>
        <s v="E1895"/>
        <s v="E2468"/>
        <s v="E2152"/>
        <s v="E1058"/>
        <s v="E2058"/>
        <s v="E2262"/>
        <s v="E1283"/>
        <s v="E1935"/>
        <s v="E1363"/>
        <s v="E1244"/>
        <s v="E1093"/>
        <s v="E2235"/>
        <s v="E1338"/>
        <s v="E2014"/>
        <s v="E1948"/>
        <s v="E2110"/>
        <s v="E1191"/>
        <s v="E1040"/>
        <s v="E1976"/>
        <s v="E1635"/>
        <s v="E1765"/>
        <s v="E1724"/>
        <s v="E2129"/>
        <s v="E1064"/>
        <s v="E1234"/>
        <s v="E1677"/>
        <s v="E1106"/>
        <s v="E1754"/>
        <s v="E1903"/>
        <s v="E1254"/>
        <s v="E1423"/>
        <s v="E2233"/>
        <s v="E1859"/>
        <s v="E1925"/>
        <s v="E1080"/>
        <s v="E1990"/>
        <s v="E2107"/>
        <s v="E1498"/>
        <s v="E2447"/>
        <s v="E1088"/>
        <s v="E1065"/>
        <s v="E2295"/>
        <s v="E1606"/>
        <s v="E1275"/>
        <s v="E2496"/>
        <s v="E2478"/>
        <s v="E2429"/>
        <s v="E1154"/>
        <s v="E1614"/>
        <s v="E1411"/>
        <s v="E1831"/>
        <s v="E1913"/>
        <s v="E1518"/>
        <s v="E1045"/>
        <s v="E1391"/>
        <s v="E1221"/>
        <s v="E1141"/>
        <s v="E1358"/>
        <s v="E1723"/>
        <s v="E2158"/>
        <s v="E1262"/>
        <s v="E2303"/>
        <s v="E1899"/>
        <s v="E2104"/>
        <s v="E1196"/>
        <s v="E1116"/>
        <s v="E2076"/>
        <s v="E2074"/>
        <s v="E1719"/>
        <s v="E2457"/>
        <s v="E2209"/>
        <s v="E2346"/>
        <s v="E1359"/>
        <s v="E2061"/>
        <s v="E2020"/>
        <s v="E2001"/>
        <s v="E1936"/>
        <s v="E1755"/>
        <s v="E1421"/>
        <s v="E1150"/>
        <s v="E1010"/>
        <s v="E2070"/>
        <s v="E2120"/>
        <s v="E2436"/>
        <s v="E1535"/>
        <s v="E1549"/>
        <s v="E1299"/>
        <s v="E1977"/>
        <s v="E2315"/>
        <s v="E2338"/>
        <s v="E1123"/>
        <s v="E2384"/>
        <s v="E2160"/>
        <s v="E2391"/>
        <s v="E1710"/>
        <s v="E2371"/>
        <s v="E1770"/>
        <s v="E1089"/>
        <s v="E2438"/>
        <s v="E2033"/>
        <s v="E1098"/>
        <s v="E2482"/>
        <s v="E1349"/>
        <s v="E1510"/>
        <s v="E1212"/>
        <s v="E1704"/>
        <s v="E1747"/>
        <s v="E2046"/>
        <s v="E1940"/>
        <s v="E2446"/>
        <s v="E2498"/>
        <s v="E2389"/>
        <s v="E1479"/>
        <s v="E1492"/>
        <s v="E1842"/>
        <s v="E2071"/>
        <s v="E1365"/>
        <s v="E1297"/>
        <s v="E1050"/>
        <s v="E1225"/>
        <s v="E2244"/>
        <s v="E2463"/>
        <s v="E1851"/>
        <s v="E1648"/>
        <s v="E2226"/>
        <s v="E1563"/>
        <s v="E1623"/>
        <s v="E2088"/>
        <s v="E1805"/>
        <s v="E1605"/>
        <s v="E2270"/>
        <s v="E1443"/>
        <s v="E2416"/>
        <s v="E2025"/>
        <s v="E1540"/>
        <s v="E1768"/>
        <s v="E1763"/>
        <s v="E1869"/>
        <s v="E1690"/>
        <s v="E1188"/>
        <s v="E1407"/>
        <s v="E2012"/>
        <s v="E2173"/>
        <s v="E1752"/>
        <s v="E2051"/>
        <s v="E1462"/>
        <s v="E1671"/>
        <s v="E1656"/>
        <s v="E1786"/>
        <s v="E2084"/>
        <s v="E1715"/>
        <s v="E2351"/>
        <s v="E1425"/>
        <s v="E1044"/>
        <s v="E1662"/>
        <s v="E1636"/>
        <s v="E1529"/>
        <s v="E1988"/>
        <s v="E1219"/>
        <s v="E1821"/>
        <s v="E2350"/>
        <s v="E2454"/>
        <s v="E1856"/>
        <s v="E1610"/>
        <s v="E1486"/>
        <s v="E2150"/>
        <s v="E2018"/>
        <s v="E2086"/>
        <s v="E1082"/>
        <s v="E1325"/>
        <s v="E2410"/>
        <s v="E2081"/>
        <s v="E1020"/>
        <s v="E1455"/>
        <s v="E2111"/>
        <s v="E1839"/>
        <s v="E1759"/>
        <s v="E2341"/>
        <s v="E1035"/>
        <s v="E1809"/>
        <s v="E2163"/>
        <s v="E1905"/>
        <s v="E1801"/>
        <s v="E1097"/>
        <s v="E2108"/>
        <s v="E1447"/>
        <s v="E1475"/>
        <s v="E1367"/>
        <s v="E2459"/>
        <s v="E1761"/>
        <s v="E1919"/>
        <s v="E2426"/>
        <s v="E1760"/>
        <s v="E1393"/>
        <s v="E2296"/>
        <s v="E1507"/>
        <s v="E1435"/>
        <s v="E1649"/>
        <s v="E1943"/>
        <s v="E2232"/>
        <s v="E2344"/>
        <s v="E2492"/>
        <s v="E1133"/>
        <s v="E2075"/>
        <s v="E1973"/>
        <s v="E2263"/>
        <s v="E1451"/>
        <s v="E1032"/>
        <s v="E1122"/>
        <s v="E2236"/>
        <s v="E2376"/>
        <s v="E2327"/>
        <s v="E2113"/>
        <s v="E2348"/>
        <s v="E1256"/>
        <s v="E1893"/>
        <s v="E1360"/>
        <s v="E1052"/>
        <s v="E1876"/>
        <s v="E1939"/>
        <s v="E1773"/>
        <s v="E2127"/>
        <s v="E2220"/>
        <s v="E1680"/>
        <s v="E1806"/>
        <s v="E1125"/>
        <s v="E1405"/>
        <s v="E1731"/>
        <s v="E2312"/>
        <s v="E1832"/>
        <s v="E2072"/>
        <s v="E1726"/>
        <s v="E1588"/>
        <s v="E1608"/>
        <s v="E1434"/>
        <s v="E1675"/>
        <s v="E2288"/>
        <s v="E1361"/>
        <s v="E2100"/>
        <s v="E1467"/>
        <s v="E1300"/>
        <s v="E1494"/>
        <s v="E1528"/>
        <s v="E2193"/>
      </sharedItems>
    </cacheField>
    <cacheField name="FirstName" numFmtId="0">
      <sharedItems count="40">
        <s v="Aadhya"/>
        <s v="Liam"/>
        <s v="Isabella"/>
        <s v="Sai"/>
        <s v="Neha"/>
        <s v="Pari"/>
        <s v="William"/>
        <s v="Sneha"/>
        <s v="Ava"/>
        <s v="Ishaan"/>
        <s v="Aditya"/>
        <s v="Emma"/>
        <s v="Mason"/>
        <s v="Ayaan"/>
        <s v="Divya"/>
        <s v="Arjun"/>
        <s v="Priya"/>
        <s v="Rohan"/>
        <s v="Vivaan"/>
        <s v="Karan"/>
        <s v="Saanvi"/>
        <s v="Isha"/>
        <s v="Olivia"/>
        <s v="Reyansh"/>
        <s v="Vihaan"/>
        <s v="Anika"/>
        <s v="Nikhil"/>
        <s v="James"/>
        <s v="Krishna"/>
        <s v="Diya"/>
        <s v="Noah"/>
        <s v="Pooja"/>
        <s v="Sophia"/>
        <s v="Myra"/>
        <s v="Rahul"/>
        <s v="Sanjay"/>
        <s v="Aarav"/>
        <s v="Kiara"/>
        <s v="Riya"/>
        <s v="Ananya"/>
      </sharedItems>
    </cacheField>
    <cacheField name="LastName" numFmtId="0">
      <sharedItems count="25">
        <s v="Nair"/>
        <s v="Patel"/>
        <s v="Bhat"/>
        <s v="Desai"/>
        <s v="Taylor"/>
        <s v="Sharma"/>
        <s v="Brown"/>
        <s v="Kumar"/>
        <s v="Joshi"/>
        <s v="Johnson"/>
        <s v="Mukherjee"/>
        <s v="Verma"/>
        <s v="Wilson"/>
        <s v="Iyer"/>
        <s v="Singh"/>
        <s v="Kulkarni"/>
        <s v="Menon"/>
        <s v="Das"/>
        <s v="Rao"/>
        <s v="Shetty"/>
        <s v="Gupta"/>
        <s v="Chatterjee"/>
        <s v="Pillai"/>
        <s v="Reddy"/>
        <s v="Smith"/>
      </sharedItems>
    </cacheField>
    <cacheField name="Department" numFmtId="0">
      <sharedItems count="6">
        <s v="Others"/>
        <s v="Engineering"/>
        <s v="HR"/>
        <s v="Finance"/>
        <s v="Sales"/>
        <s v="Marketing"/>
      </sharedItems>
    </cacheField>
    <cacheField name="JobRole" numFmtId="0">
      <sharedItems count="17">
        <s v="Operations Executive"/>
        <s v="QA Engineer"/>
        <s v="Talent Acquisition"/>
        <s v="Accountant"/>
        <s v="Sales Executive"/>
        <s v="Account Manager"/>
        <s v="HR Executive"/>
        <s v="Marketing Manager"/>
        <s v="Sales Manager"/>
        <s v="Admin Executive"/>
        <s v="Finance Analyst"/>
        <s v="Senior Engineer"/>
        <s v="Software Engineer"/>
        <s v="HR Manager"/>
        <s v="DevOps Engineer"/>
        <s v="Marketing Associate"/>
        <s v="Content Specialist"/>
      </sharedItems>
    </cacheField>
    <cacheField name="Age" numFmtId="0">
      <sharedItems containsString="0" containsBlank="1" containsNumber="1" containsInteger="1" minValue="0" maxValue="56" count="36">
        <n v="25"/>
        <n v="35"/>
        <n v="36"/>
        <n v="32"/>
        <n v="37"/>
        <n v="40"/>
        <n v="39"/>
        <n v="21"/>
        <n v="30"/>
        <n v="41"/>
        <n v="28"/>
        <n v="23"/>
        <n v="26"/>
        <n v="44"/>
        <n v="24"/>
        <n v="46"/>
        <n v="31"/>
        <n v="29"/>
        <n v="22"/>
        <n v="34"/>
        <n v="27"/>
        <n v="33"/>
        <n v="45"/>
        <n v="38"/>
        <n v="42"/>
        <m/>
        <n v="49"/>
        <n v="52"/>
        <n v="48"/>
        <n v="43"/>
        <n v="50"/>
        <n v="47"/>
        <n v="51"/>
        <n v="56"/>
        <n v="54"/>
        <n v="53"/>
      </sharedItems>
    </cacheField>
    <cacheField name="Gender" numFmtId="0">
      <sharedItems count="2">
        <s v="Male"/>
        <s v="Female"/>
      </sharedItems>
    </cacheField>
    <cacheField name="HireDate" numFmtId="0">
      <sharedItems containsDate="1" containsMixedTypes="1" count="1210">
        <d v="2019-01-23T00:00:00"/>
        <d v="2019-01-24T00:00:00"/>
        <s v="08-09-2020"/>
        <s v="08-09-2021"/>
        <s v="27-12-2020"/>
        <s v="11-09-2023"/>
        <s v="09-10-2022"/>
        <s v="17-03-2020"/>
        <s v="08-04-2024"/>
        <s v="13-05-2024"/>
        <s v="10-08-2024"/>
        <s v="09-11-2021"/>
        <s v="09-11-2022"/>
        <d v="2019-03-10T00:00:00"/>
        <s v="23-08-2021"/>
        <s v="09-08-2023"/>
        <s v="07-03-2023"/>
        <s v="26-06-2024"/>
        <s v="08-07-2019"/>
        <s v="07-09-2022"/>
        <s v="16-05-2025"/>
        <s v="17-02-2022"/>
        <s v="25-04-2022"/>
        <s v="09-03-2026"/>
        <s v="25-03-2026"/>
        <s v="03-03-2023"/>
        <s v="21-12-2023"/>
        <s v="11-04-2021"/>
        <s v="26-07-2020"/>
        <s v="19-03-2019"/>
        <s v="15-01-2025"/>
        <s v="15-07-2023"/>
        <s v="21-02-2024"/>
        <s v="29-11-2019"/>
        <s v="17-06-2021"/>
        <s v="27-07-2019"/>
        <s v="29-03-2025"/>
        <s v="05-06-2022"/>
        <s v="01-03-2022"/>
        <s v="10-07-2019"/>
        <s v="28-02-2026"/>
        <s v="09-02-2024"/>
        <s v="26-05-2025"/>
        <s v="26-12-2020"/>
        <s v="14-05-2026"/>
        <s v="12-04-2022"/>
        <s v="11-01-2021"/>
        <s v="02-06-2020"/>
        <s v="19-10-2022"/>
        <s v="13-06-2019"/>
        <s v="08-02-2023"/>
        <s v="09-06-2025"/>
        <s v="10-06-2019"/>
        <s v="15-09-2020"/>
        <s v="27-03-2019"/>
        <s v="23-06-2021"/>
        <s v="06-10-2021"/>
        <s v="07-06-2025"/>
        <s v="24-05-2020"/>
        <s v="17-07-2024"/>
        <s v="12-03-2026"/>
        <s v="16-12-2022"/>
        <s v="11-08-2025"/>
        <s v="04-08-2023"/>
        <s v="20-12-2021"/>
        <s v="13-11-2021"/>
        <s v="05-07-2019"/>
        <s v="20-05-2022"/>
        <s v="13-06-2024"/>
        <s v="24-11-2022"/>
        <s v="20-07-2024"/>
        <s v="07-07-2021"/>
        <s v="17-08-2020"/>
        <s v="23-03-2023"/>
        <s v="03-01-2023"/>
        <s v="14-08-2019"/>
        <s v="02-11-2020"/>
        <s v="17-09-2020"/>
        <s v="26-10-2022"/>
        <s v="21-08-2025"/>
        <s v="26-03-2023"/>
        <s v="26-02-2022"/>
        <s v="07-10-2020"/>
        <s v="17-04-2021"/>
        <s v="25-07-2021"/>
        <s v="28-01-2025"/>
        <s v="29-05-2023"/>
        <s v="21-03-2020"/>
        <s v="01-10-2023"/>
        <s v="05-09-2023"/>
        <s v="31-12-2023"/>
        <s v="14-10-2020"/>
        <s v="17-04-2019"/>
        <s v="17-06-2024"/>
        <s v="22-07-2021"/>
        <s v="13-09-2022"/>
        <s v="27-10-2020"/>
        <s v="07-08-2019"/>
        <s v="07-12-2025"/>
        <s v="13-04-2023"/>
        <s v="11-11-2022"/>
        <s v="20-05-2026"/>
        <s v="11-05-2024"/>
        <s v="27-04-2024"/>
        <s v="15-03-2026"/>
        <s v="07-02-2023"/>
        <s v="01-03-2025"/>
        <s v="14-01-2026"/>
        <s v="13-02-2024"/>
        <s v="21-05-2020"/>
        <s v="11-10-2022"/>
        <s v="22-12-2022"/>
        <s v="11-09-2021"/>
        <s v="03-04-2024"/>
        <s v="03-07-2025"/>
        <s v="02-04-2026"/>
        <s v="29-08-2023"/>
        <s v="01-03-2019"/>
        <s v="17-04-2024"/>
        <s v="27-12-2019"/>
        <s v="03-10-2019"/>
        <s v="13-07-2025"/>
        <s v="17-09-2023"/>
        <s v="27-09-2024"/>
        <s v="04-07-2021"/>
        <s v="16-06-2021"/>
        <s v="28-02-2019"/>
        <s v="26-03-2019"/>
        <s v="02-11-2023"/>
        <s v="27-01-2026"/>
        <s v="12-08-2021"/>
        <s v="01-09-2024"/>
        <d v="2020-02-11T00:00:00"/>
        <s v="25-06-2019"/>
        <s v="18-01-2020"/>
        <s v="06-10-2019"/>
        <s v="17-05-2022"/>
        <s v="29-04-2022"/>
        <s v="20-01-2024"/>
        <s v="09-03-2020"/>
        <s v="24-04-2022"/>
        <s v="16-09-2021"/>
        <s v="15-02-2022"/>
        <d v="2024-05-02T00:00:00"/>
        <s v="09-06-2019"/>
        <s v="07-02-2019"/>
        <d v="2025-05-18T00:00:00"/>
        <s v="23-11-2025"/>
        <s v="10-01-2020"/>
        <s v="18-01-2019"/>
        <s v="10-12-2022"/>
        <s v="22-08-2022"/>
        <s v="28-07-2020"/>
        <s v="13-01-2024"/>
        <s v="08-02-2024"/>
        <s v="12-01-2021"/>
        <s v="20-08-2021"/>
        <s v="10-01-2021"/>
        <s v="04-04-2021"/>
        <s v="08-09-2022"/>
        <s v="15-01-2021"/>
        <s v="30-08-2022"/>
        <s v="29-10-2025"/>
        <s v="05-02-2021"/>
        <s v="10-10-2020"/>
        <s v="25-12-2019"/>
        <s v="15-02-2026"/>
        <s v="12-05-2024"/>
        <s v="10-03-2023"/>
        <s v="28-01-2021"/>
        <s v="25-06-2024"/>
        <s v="16-12-2025"/>
        <s v="30-07-2023"/>
        <s v="31-01-2019"/>
        <s v="17-10-2025"/>
        <s v="30-04-2024"/>
        <s v="10-11-2025"/>
        <s v="29-04-2023"/>
        <d v="2025-06-22T00:00:00"/>
        <s v="09-01-2022"/>
        <s v="11-02-2024"/>
        <s v="01-09-2020"/>
        <s v="10-12-2024"/>
        <s v="30-04-2025"/>
        <s v="13-06-2026"/>
        <s v="19-04-2026"/>
        <s v="16-02-2022"/>
        <s v="08-01-2024"/>
        <d v="2025-03-23T00:00:00"/>
        <s v="10-03-2019"/>
        <s v="18-05-2023"/>
        <s v="17-03-2019"/>
        <s v="11-10-2024"/>
        <s v="01-04-2022"/>
        <s v="17-04-2023"/>
        <s v="18-08-2024"/>
        <s v="15-02-2021"/>
        <s v="26-04-2025"/>
        <s v="04-05-2024"/>
        <s v="01-08-2025"/>
        <s v="14-06-2020"/>
        <s v="20-04-2026"/>
        <s v="02-09-2021"/>
        <s v="29-04-2025"/>
        <s v="30-06-2021"/>
        <s v="31-12-2020"/>
        <s v="09-02-2023"/>
        <s v="21-10-2021"/>
        <s v="05-08-2021"/>
        <s v="19-10-2020"/>
        <d v="2022-10-05T00:00:00"/>
        <s v="05-08-2022"/>
        <s v="15-12-2021"/>
        <s v="27-06-2021"/>
        <s v="10-11-2020"/>
        <s v="26-09-2019"/>
        <s v="03-07-2022"/>
        <s v="22-02-2026"/>
        <s v="15-03-2024"/>
        <s v="17-07-2025"/>
        <s v="05-09-2020"/>
        <s v="08-11-2019"/>
        <s v="17-01-2020"/>
        <s v="28-01-2019"/>
        <s v="08-06-2019"/>
        <s v="25-05-2024"/>
        <s v="21-10-2025"/>
        <s v="26-02-2023"/>
        <s v="29-09-2025"/>
        <s v="19-08-2024"/>
        <s v="21-05-2019"/>
        <s v="29-09-2019"/>
        <s v="01-12-2025"/>
        <s v="06-06-2022"/>
        <s v="26-04-2022"/>
        <s v="08-07-2025"/>
        <s v="21-11-2024"/>
        <s v="03-05-2026"/>
        <s v="07-08-2025"/>
        <s v="16-09-2024"/>
        <s v="25-02-2020"/>
        <s v="23-07-2022"/>
        <s v="09-05-2023"/>
        <d v="2019-07-08T00:00:00"/>
        <s v="13-09-2023"/>
        <s v="20-11-2021"/>
        <s v="21-07-2020"/>
        <s v="09-06-2022"/>
        <s v="14-06-2023"/>
        <s v="02-05-2024"/>
        <s v="07-02-2022"/>
        <s v="19-12-2020"/>
        <s v="02-11-2022"/>
        <s v="02-04-2021"/>
        <s v="03-09-2025"/>
        <s v="27-04-2025"/>
        <s v="30-12-2023"/>
        <s v="13-01-2026"/>
        <s v="22-06-2022"/>
        <s v="17-10-2019"/>
        <d v="2026-04-30T00:00:00"/>
        <s v="11-08-2023"/>
        <s v="30-03-2026"/>
        <s v="11-05-2019"/>
        <s v="04-06-2019"/>
        <s v="10-03-2020"/>
        <s v="18-04-2021"/>
        <s v="01-02-2023"/>
        <s v="19-02-2020"/>
        <s v="27-10-2023"/>
        <s v="08-12-2019"/>
        <s v="06-02-2022"/>
        <s v="26-09-2021"/>
        <s v="21-01-2022"/>
        <s v="03-08-2023"/>
        <s v="19-09-2021"/>
        <s v="25-08-2024"/>
        <s v="20-11-2022"/>
        <s v="15-07-2022"/>
        <s v="23-11-2021"/>
        <d v="2021-06-04T00:00:00"/>
        <s v="25-06-2026"/>
        <s v="27-03-2023"/>
        <s v="15-07-2020"/>
        <s v="21-04-2026"/>
        <s v="26-06-2019"/>
        <s v="29-01-2026"/>
        <s v="23-05-2024"/>
        <s v="04-06-2021"/>
        <d v="2022-11-22T00:00:00"/>
        <s v="04-12-2020"/>
        <s v="22-07-2023"/>
        <s v="21-01-2024"/>
        <s v="19-01-2022"/>
        <s v="26-07-2019"/>
        <s v="29-01-2024"/>
        <s v="03-03-2019"/>
        <s v="14-09-2025"/>
        <s v="08-02-2021"/>
        <s v="02-01-2025"/>
        <s v="03-03-2025"/>
        <s v="08-11-2020"/>
        <s v="09-06-2023"/>
        <s v="06-10-2022"/>
        <s v="18-05-2019"/>
        <s v="16-10-2022"/>
        <s v="12-07-2020"/>
        <s v="02-06-2023"/>
        <s v="13-10-2025"/>
        <s v="25-05-2022"/>
        <s v="03-10-2024"/>
        <s v="05-10-2025"/>
        <s v="06-01-2023"/>
        <s v="27-10-2021"/>
        <s v="03-12-2024"/>
        <s v="03-05-2020"/>
        <s v="02-03-2026"/>
        <s v="20-02-2026"/>
        <s v="14-03-2020"/>
        <s v="13-04-2021"/>
        <s v="23-05-2021"/>
        <s v="30-09-2019"/>
        <s v="01-05-2021"/>
        <s v="31-08-2019"/>
        <s v="18-08-2022"/>
        <s v="09-07-2024"/>
        <s v="12-09-2023"/>
        <s v="30-05-2024"/>
        <s v="21-11-2020"/>
        <s v="06-01-2024"/>
        <s v="16-05-2024"/>
        <s v="07-08-2020"/>
        <s v="12-08-2020"/>
        <s v="26-05-2019"/>
        <s v="24-04-2025"/>
        <s v="14-04-2019"/>
        <s v="05-04-2026"/>
        <s v="17-03-2026"/>
        <s v="31-07-2023"/>
        <s v="22-06-2025"/>
        <s v="03-12-2021"/>
        <s v="20-08-2023"/>
        <s v="25-11-2023"/>
        <s v="02-01-2019"/>
        <s v="29-10-2019"/>
        <d v="2020-07-13T00:00:00"/>
        <s v="16-05-2019"/>
        <s v="18-11-2024"/>
        <s v="08-12-2020"/>
        <s v="28-07-2023"/>
        <s v="10-08-2025"/>
        <s v="25-05-2025"/>
        <s v="30-03-2021"/>
        <s v="31-08-2021"/>
        <s v="04-01-2023"/>
        <s v="22-01-2020"/>
        <s v="04-02-2019"/>
        <s v="06-10-2025"/>
        <s v="24-01-2022"/>
        <s v="04-07-2023"/>
        <s v="07-08-2023"/>
        <s v="20-12-2024"/>
        <s v="23-12-2020"/>
        <s v="05-12-2023"/>
        <s v="11-08-2019"/>
        <s v="10-09-2024"/>
        <s v="16-12-2021"/>
        <s v="20-04-2025"/>
        <s v="16-03-2024"/>
        <s v="03-11-2025"/>
        <s v="06-04-2024"/>
        <s v="29-11-2021"/>
        <s v="28-07-2024"/>
        <s v="09-05-2026"/>
        <s v="02-10-2023"/>
        <s v="15-04-2020"/>
        <s v="01-12-2023"/>
        <s v="20-06-2022"/>
        <s v="21-11-2023"/>
        <s v="29-12-2023"/>
        <s v="27-04-2022"/>
        <s v="09-08-2022"/>
        <s v="31-05-2024"/>
        <s v="20-09-2020"/>
        <s v="23-08-2024"/>
        <s v="08-05-2023"/>
        <s v="26-10-2021"/>
        <s v="01-12-2021"/>
        <s v="18-11-2023"/>
        <s v="01-10-2022"/>
        <s v="22-02-2024"/>
        <s v="31-01-2026"/>
        <s v="09-11-2025"/>
        <s v="16-04-2024"/>
        <s v="06-04-2021"/>
        <s v="31-12-2019"/>
        <s v="17-12-2021"/>
        <s v="07-04-2025"/>
        <s v="29-04-2021"/>
        <s v="25-07-2023"/>
        <s v="21-02-2019"/>
        <s v="12-06-2022"/>
        <s v="09-03-2019"/>
        <s v="20-08-2019"/>
        <s v="18-02-2022"/>
        <s v="07-02-2024"/>
        <s v="19-03-2023"/>
        <s v="05-12-2019"/>
        <s v="21-03-2019"/>
        <s v="02-08-2019"/>
        <s v="26-08-2025"/>
        <s v="10-12-2023"/>
        <s v="20-05-2023"/>
        <s v="17-03-2025"/>
        <s v="05-06-2020"/>
        <s v="30-06-2023"/>
        <s v="15-05-2022"/>
        <s v="25-07-2024"/>
        <s v="03-06-2025"/>
        <s v="24-06-2025"/>
        <s v="13-11-2019"/>
        <s v="28-03-2024"/>
        <s v="14-03-2022"/>
        <s v="23-04-2024"/>
        <s v="08-03-2019"/>
        <s v="04-12-2025"/>
        <s v="21-04-2025"/>
        <s v="06-02-2025"/>
        <s v="10-02-2019"/>
        <s v="09-11-2023"/>
        <s v="07-01-2021"/>
        <s v="10-05-2023"/>
        <s v="18-08-2023"/>
        <s v="09-04-2024"/>
        <s v="24-04-2024"/>
        <s v="22-11-2022"/>
        <s v="03-09-2022"/>
        <s v="22-05-2021"/>
        <s v="12-04-2025"/>
        <s v="11-07-2025"/>
        <s v="02-03-2023"/>
        <s v="18-11-2025"/>
        <s v="04-10-2020"/>
        <s v="29-10-2020"/>
        <s v="05-10-2023"/>
        <s v="04-11-2019"/>
        <s v="08-12-2025"/>
        <s v="31-03-2026"/>
        <s v="17-11-2023"/>
        <s v="11-11-2025"/>
        <s v="11-11-2020"/>
        <s v="10-05-2024"/>
        <s v="22-05-2025"/>
        <s v="06-04-2025"/>
        <s v="06-03-2023"/>
        <s v="10-09-2020"/>
        <s v="25-04-2019"/>
        <s v="18-10-2025"/>
        <s v="11-06-2026"/>
        <s v="14-01-2022"/>
        <s v="09-07-2020"/>
        <s v="10-01-2019"/>
        <s v="13-04-2019"/>
        <s v="11-10-2020"/>
        <s v="23-07-2019"/>
        <s v="13-08-2020"/>
        <s v="09-05-2019"/>
        <s v="28-06-2021"/>
        <s v="17-12-2025"/>
        <s v="26-04-2023"/>
        <s v="05-03-2025"/>
        <s v="20-09-2022"/>
        <s v="07-05-2025"/>
        <s v="29-04-2024"/>
        <s v="13-08-2019"/>
        <s v="07-11-2020"/>
        <s v="15-04-2023"/>
        <d v="2020-03-17T00:00:00"/>
        <s v="29-06-2025"/>
        <s v="09-02-2026"/>
        <s v="16-04-2026"/>
        <s v="03-05-2022"/>
        <s v="18-04-2025"/>
        <s v="15-11-2019"/>
        <s v="13-03-2025"/>
        <s v="19-07-2020"/>
        <s v="09-09-2025"/>
        <s v="21-09-2019"/>
        <s v="07-09-2024"/>
        <s v="13-11-2020"/>
        <s v="07-12-2021"/>
        <s v="07-08-2021"/>
        <s v="02-03-2025"/>
        <s v="30-12-2020"/>
        <s v="17-09-2021"/>
        <s v="19-03-2026"/>
        <s v="06-08-2025"/>
        <d v="2022-09-19T00:00:00"/>
        <s v="11-01-2022"/>
        <s v="12-09-2020"/>
        <s v="10-01-2023"/>
        <s v="14-01-2020"/>
        <d v="2023-08-28T00:00:00"/>
        <s v="30-10-2019"/>
        <s v="23-05-2022"/>
        <s v="02-05-2019"/>
        <s v="03-11-2022"/>
        <s v="27-07-2024"/>
        <s v="31-03-2020"/>
        <s v="27-08-2020"/>
        <s v="22-04-2019"/>
        <s v="23-06-2019"/>
        <s v="21-02-2020"/>
        <s v="11-07-2019"/>
        <s v="14-01-2023"/>
        <s v="18-09-2022"/>
        <s v="14-01-2025"/>
        <s v="29-06-2026"/>
        <s v="16-11-2023"/>
        <s v="28-05-2023"/>
        <s v="13-06-2025"/>
        <s v="02-03-2022"/>
        <s v="15-05-2025"/>
        <s v="21-05-2024"/>
        <s v="11-06-2020"/>
        <s v="07-06-2020"/>
        <s v="18-06-2021"/>
        <s v="18-04-2019"/>
        <s v="23-02-2020"/>
        <s v="07-03-2026"/>
        <s v="07-09-2023"/>
        <s v="18-10-2023"/>
        <s v="07-05-2023"/>
        <s v="28-06-2022"/>
        <s v="30-08-2023"/>
        <s v="09-02-2022"/>
        <s v="30-06-2020"/>
        <d v="2022-01-10T00:00:00"/>
        <s v="17-02-2024"/>
        <s v="09-07-2021"/>
        <s v="22-03-2020"/>
        <s v="30-12-2025"/>
        <s v="19-09-2022"/>
        <s v="21-06-2024"/>
        <s v="03-05-2025"/>
        <d v="2026-05-20T00:00:00"/>
        <s v="18-11-2020"/>
        <s v="02-09-2019"/>
        <s v="10-05-2026"/>
        <s v="03-04-2019"/>
        <s v="03-05-2019"/>
        <s v="18-03-2024"/>
        <s v="03-10-2025"/>
        <s v="24-03-2024"/>
        <s v="30-07-2021"/>
        <s v="03-11-2019"/>
        <s v="10-11-2019"/>
        <s v="24-02-2022"/>
        <s v="12-04-2026"/>
        <s v="21-12-2024"/>
        <s v="11-11-2023"/>
        <s v="07-07-2022"/>
        <s v="17-12-2020"/>
        <s v="12-12-2019"/>
        <s v="08-03-2026"/>
        <s v="08-07-2020"/>
        <s v="14-12-2022"/>
        <s v="21-02-2022"/>
        <s v="27-07-2020"/>
        <s v="31-12-2025"/>
        <s v="22-01-2019"/>
        <s v="22-09-2025"/>
        <s v="05-10-2021"/>
        <s v="20-04-2021"/>
        <s v="12-08-2022"/>
        <s v="06-01-2026"/>
        <s v="14-07-2022"/>
        <s v="19-02-2023"/>
        <s v="24-09-2024"/>
        <s v="26-09-2022"/>
        <s v="09-01-2024"/>
        <s v="16-06-2023"/>
        <s v="21-09-2024"/>
        <s v="17-04-2022"/>
        <s v="25-09-2023"/>
        <s v="24-10-2019"/>
        <s v="23-12-2023"/>
        <s v="19-12-2024"/>
        <s v="21-11-2019"/>
        <s v="17-04-2020"/>
        <s v="24-11-2020"/>
        <s v="07-03-2025"/>
        <s v="23-03-2025"/>
        <s v="31-07-2025"/>
        <s v="19-07-2024"/>
        <s v="15-03-2020"/>
        <s v="09-04-2026"/>
        <s v="04-03-2021"/>
        <s v="07-09-2020"/>
        <s v="23-06-2026"/>
        <s v="10-09-2019"/>
        <s v="19-06-2020"/>
        <s v="24-03-2019"/>
        <s v="08-04-2022"/>
        <s v="06-11-2025"/>
        <s v="12-01-2020"/>
        <s v="28-10-2019"/>
        <s v="25-10-2023"/>
        <s v="12-10-2025"/>
        <s v="25-03-2019"/>
        <s v="12-01-2023"/>
        <s v="01-03-2023"/>
        <s v="03-02-2022"/>
        <s v="18-10-2021"/>
        <s v="05-02-2025"/>
        <s v="19-01-2019"/>
        <s v="29-09-2022"/>
        <s v="18-03-2022"/>
        <s v="26-08-2024"/>
        <s v="20-06-2019"/>
        <s v="17-02-2026"/>
        <s v="26-09-2024"/>
        <s v="01-04-2025"/>
        <s v="02-01-2023"/>
        <s v="05-09-2025"/>
        <s v="19-05-2025"/>
        <s v="05-02-2026"/>
        <s v="24-06-2024"/>
        <s v="09-12-2023"/>
        <s v="25-02-2023"/>
        <d v="2020-12-03T00:00:00"/>
        <s v="27-09-2022"/>
        <s v="17-01-2023"/>
        <s v="25-06-2023"/>
        <s v="25-02-2025"/>
        <s v="08-07-2023"/>
        <s v="11-09-2019"/>
        <s v="08-01-2020"/>
        <s v="27-06-2024"/>
        <s v="17-07-2020"/>
        <s v="22-05-2019"/>
        <s v="16-05-2023"/>
        <s v="03-04-2021"/>
        <s v="11-01-2023"/>
        <s v="11-03-2025"/>
        <s v="26-03-2022"/>
        <s v="16-03-2019"/>
        <s v="16-11-2020"/>
        <s v="04-10-2019"/>
        <s v="26-12-2025"/>
        <s v="10-02-2023"/>
        <s v="20-05-2025"/>
        <d v="2020-05-26T00:00:00"/>
        <s v="10-08-2022"/>
        <s v="31-01-2020"/>
        <s v="01-10-2019"/>
        <s v="28-06-2019"/>
        <s v="17-08-2021"/>
        <s v="14-12-2023"/>
        <s v="10-05-2020"/>
        <s v="10-06-2024"/>
        <s v="13-09-2019"/>
        <s v="30-10-2022"/>
        <s v="13-01-2019"/>
        <s v="26-12-2024"/>
        <s v="03-06-2022"/>
        <s v="02-03-2021"/>
        <s v="11-10-2021"/>
        <s v="28-03-2026"/>
        <s v="16-02-2020"/>
        <s v="28-01-2020"/>
        <s v="02-11-2021"/>
        <s v="15-10-2019"/>
        <s v="12-02-2020"/>
        <s v="10-07-2025"/>
        <s v="20-06-2026"/>
        <s v="02-07-2024"/>
        <s v="01-08-2019"/>
        <s v="09-06-2024"/>
        <s v="09-04-2021"/>
        <s v="11-12-2020"/>
        <s v="19-06-2026"/>
        <s v="21-01-2019"/>
        <s v="19-08-2020"/>
        <s v="23-02-2023"/>
        <s v="09-08-2021"/>
        <s v="15-02-2020"/>
        <s v="26-05-2023"/>
        <s v="16-10-2021"/>
        <s v="12-03-2022"/>
        <s v="12-06-2020"/>
        <s v="05-08-2024"/>
        <s v="26-01-2026"/>
        <s v="23-09-2025"/>
        <s v="30-01-2024"/>
        <s v="05-02-2019"/>
        <s v="19-06-2025"/>
        <s v="28-02-2022"/>
        <s v="20-03-2023"/>
        <s v="22-07-2025"/>
        <s v="17-12-2024"/>
        <s v="13-03-2021"/>
        <s v="09-01-2025"/>
        <d v="2023-06-13T00:00:00"/>
        <s v="05-05-2022"/>
        <s v="01-11-2024"/>
        <s v="19-03-2021"/>
        <s v="24-01-2025"/>
        <d v="2022-03-10T00:00:00"/>
        <s v="11-10-2025"/>
        <s v="07-05-2020"/>
        <s v="04-08-2025"/>
        <s v="18-07-2023"/>
        <s v="24-08-2020"/>
        <d v="2019-02-15T00:00:00"/>
        <s v="16-06-2019"/>
        <s v="27-03-2025"/>
        <s v="02-02-2025"/>
        <s v="12-01-2019"/>
        <s v="14-11-2019"/>
        <s v="27-07-2025"/>
        <s v="12-07-2021"/>
        <s v="06-07-2023"/>
        <s v="30-11-2024"/>
        <s v="14-09-2023"/>
        <s v="21-01-2023"/>
        <s v="20-03-2020"/>
        <d v="2026-04-22T00:00:00"/>
        <s v="03-01-2022"/>
        <s v="24-06-2023"/>
        <s v="31-08-2022"/>
        <s v="29-06-2022"/>
        <d v="2019-07-26T00:00:00"/>
        <s v="25-07-2022"/>
        <s v="02-04-2025"/>
        <d v="2021-05-14T00:00:00"/>
        <s v="24-07-2020"/>
        <s v="18-07-2021"/>
        <s v="12-12-2022"/>
        <s v="05-04-2020"/>
        <s v="04-08-2020"/>
        <s v="17-03-2022"/>
        <s v="27-05-2019"/>
        <s v="02-09-2024"/>
        <s v="05-06-2019"/>
        <s v="18-03-2019"/>
        <s v="04-12-2024"/>
        <s v="09-12-2019"/>
        <s v="31-08-2020"/>
        <s v="04-03-2025"/>
        <s v="01-03-2021"/>
        <s v="11-05-2022"/>
        <s v="18-04-2023"/>
        <s v="09-06-2026"/>
        <s v="29-09-2024"/>
        <s v="04-06-2022"/>
        <s v="12-11-2025"/>
        <s v="06-02-2024"/>
        <s v="09-09-2022"/>
        <s v="14-03-2023"/>
        <s v="07-06-2019"/>
        <s v="27-09-2019"/>
        <s v="22-04-2020"/>
        <s v="11-07-2023"/>
        <s v="27-05-2021"/>
        <s v="15-04-2022"/>
        <s v="31-12-2022"/>
        <s v="10-04-2026"/>
        <s v="26-07-2023"/>
        <s v="08-03-2024"/>
        <s v="27-05-2025"/>
        <s v="04-05-2022"/>
        <d v="2022-10-28T00:00:00"/>
        <d v="2023-02-09T00:00:00"/>
        <s v="01-01-2025"/>
        <s v="14-09-2021"/>
        <s v="13-11-2022"/>
        <s v="23-08-2023"/>
        <s v="04-04-2022"/>
        <s v="11-02-2025"/>
        <s v="11-06-2019"/>
        <s v="01-01-2026"/>
        <s v="15-04-2019"/>
        <s v="25-06-2020"/>
        <d v="2024-01-15T00:00:00"/>
        <s v="16-04-2025"/>
        <s v="27-01-2020"/>
        <s v="05-11-2025"/>
        <s v="14-06-2022"/>
        <s v="04-05-2023"/>
        <s v="16-08-2021"/>
        <s v="23-07-2020"/>
        <s v="26-07-2025"/>
        <s v="25-05-2020"/>
        <s v="07-07-2023"/>
        <s v="25-02-2019"/>
        <s v="11-07-2024"/>
        <s v="13-07-2023"/>
        <s v="29-01-2019"/>
        <s v="28-04-2019"/>
        <s v="06-04-2023"/>
        <s v="12-08-2025"/>
        <s v="20-11-2025"/>
        <s v="05-07-2025"/>
        <s v="03-12-2019"/>
        <s v="29-05-2022"/>
        <s v="14-12-2025"/>
        <s v="11-03-2024"/>
        <s v="28-05-2021"/>
        <s v="19-09-2019"/>
        <s v="13-11-2023"/>
        <s v="19-01-2023"/>
        <s v="08-08-2019"/>
        <s v="06-04-2026"/>
        <s v="21-12-2021"/>
        <s v="21-08-2022"/>
        <s v="19-06-2023"/>
        <s v="01-02-2020"/>
        <s v="26-03-2021"/>
        <s v="07-12-2022"/>
        <s v="25-11-2019"/>
        <s v="12-01-2025"/>
        <s v="28-10-2021"/>
        <s v="20-07-2022"/>
        <s v="14-04-2022"/>
        <d v="2023-07-07T00:00:00"/>
        <s v="22-04-2023"/>
        <s v="21-02-2021"/>
        <s v="23-06-2023"/>
        <s v="06-08-2021"/>
        <s v="22-07-2024"/>
        <s v="26-11-2023"/>
        <s v="22-09-2023"/>
        <s v="04-12-2022"/>
        <s v="20-05-2021"/>
        <s v="22-02-2022"/>
        <s v="18-06-2024"/>
        <d v="2020-10-17T00:00:00"/>
        <s v="23-07-2025"/>
        <s v="05-03-2022"/>
        <s v="07-07-2020"/>
        <s v="26-07-2024"/>
        <s v="02-05-2022"/>
        <s v="22-01-2025"/>
        <s v="25-09-2024"/>
        <s v="24-10-2024"/>
        <s v="19-08-2023"/>
        <s v="04-01-2022"/>
        <d v="2025-03-15T00:00:00"/>
        <s v="30-04-2022"/>
        <s v="01-12-2019"/>
        <s v="23-03-2019"/>
        <s v="06-02-2019"/>
        <s v="07-04-2026"/>
        <s v="21-05-2025"/>
        <s v="30-10-2020"/>
        <s v="28-10-2022"/>
        <s v="28-02-2024"/>
        <s v="12-06-2023"/>
        <s v="23-04-2026"/>
        <s v="02-04-2022"/>
        <s v="11-02-2021"/>
        <s v="16-07-2023"/>
        <s v="01-06-2026"/>
        <s v="20-03-2026"/>
        <s v="11-06-2023"/>
        <s v="28-11-2021"/>
        <s v="29-03-2023"/>
        <s v="15-10-2021"/>
        <s v="03-06-2023"/>
        <s v="17-11-2024"/>
        <s v="03-02-2026"/>
        <s v="23-03-2024"/>
        <s v="05-11-2021"/>
        <s v="13-11-2025"/>
        <s v="28-10-2023"/>
        <s v="07-01-2022"/>
        <d v="2024-03-21T00:00:00"/>
        <s v="25-03-2022"/>
        <s v="04-07-2022"/>
        <s v="12-11-2024"/>
        <d v="2020-11-09T00:00:00"/>
        <s v="17-01-2026"/>
        <d v="2021-12-24T00:00:00"/>
        <s v="15-12-2020"/>
        <s v="23-12-2022"/>
        <s v="29-06-2019"/>
        <s v="17-09-2025"/>
        <s v="26-11-2022"/>
        <s v="29-10-2021"/>
        <s v="27-02-2022"/>
        <s v="12-10-2019"/>
        <s v="04-09-2025"/>
        <s v="24-04-2026"/>
        <s v="25-10-2024"/>
        <s v="07-11-2022"/>
        <s v="04-04-2023"/>
        <s v="03-08-2021"/>
        <s v="29-07-2024"/>
        <s v="03-06-2019"/>
        <s v="06-12-2025"/>
        <s v="26-04-2021"/>
        <s v="01-04-2020"/>
        <s v="11-01-2026"/>
        <s v="15-11-2020"/>
        <s v="20-05-2019"/>
        <s v="08-11-2024"/>
        <s v="31-01-2021"/>
        <s v="10-01-2022"/>
        <s v="31-10-2023"/>
        <s v="17-07-2021"/>
        <s v="11-09-2025"/>
        <s v="20-06-2020"/>
        <s v="27-05-2023"/>
        <s v="10-04-2024"/>
        <s v="09-05-2025"/>
        <s v="06-10-2024"/>
        <s v="18-03-2023"/>
        <s v="14-03-2019"/>
        <s v="19-10-2019"/>
        <s v="31-03-2019"/>
        <s v="10-04-2021"/>
        <s v="16-04-2020"/>
        <s v="27-04-2020"/>
        <s v="26-03-2020"/>
        <s v="31-10-2020"/>
        <s v="08-06-2020"/>
        <s v="23-04-2019"/>
        <s v="13-03-2019"/>
        <s v="06-05-2025"/>
        <s v="10-03-2026"/>
        <s v="11-03-2019"/>
        <s v="02-02-2026"/>
        <s v="12-02-2022"/>
        <s v="30-08-2019"/>
        <s v="27-01-2025"/>
        <s v="25-06-2021"/>
        <s v="21-03-2023"/>
        <s v="01-07-2021"/>
        <s v="27-02-2020"/>
        <s v="07-07-2025"/>
        <s v="05-01-2019"/>
        <s v="21-12-2020"/>
        <d v="2025-09-27T00:00:00"/>
        <s v="21-04-2021"/>
        <s v="16-08-2024"/>
        <s v="28-07-2021"/>
        <s v="06-12-2019"/>
        <s v="16-11-2024"/>
        <s v="31-05-2025"/>
        <s v="10-03-2025"/>
        <s v="20-02-2023"/>
        <s v="13-12-2021"/>
        <s v="08-02-2020"/>
        <s v="26-05-2021"/>
        <s v="02-07-2022"/>
        <s v="30-09-2024"/>
        <s v="13-10-2019"/>
        <s v="20-06-2021"/>
        <s v="24-09-2023"/>
        <s v="11-03-2026"/>
        <s v="16-03-2021"/>
        <s v="20-09-2023"/>
        <s v="10-08-2020"/>
        <s v="05-05-2026"/>
        <s v="12-02-2024"/>
        <d v="2024-04-25T00:00:00"/>
        <s v="08-03-2022"/>
        <s v="06-01-2021"/>
        <s v="14-06-2026"/>
        <s v="13-03-2023"/>
        <s v="26-10-2020"/>
        <d v="2021-07-17T00:00:00"/>
        <s v="14-01-2024"/>
        <s v="28-12-2023"/>
        <s v="15-12-2019"/>
        <s v="23-06-2025"/>
        <s v="14-05-2020"/>
        <s v="09-04-2020"/>
        <s v="08-09-2024"/>
        <s v="31-01-2023"/>
        <s v="19-01-2020"/>
        <s v="12-05-2019"/>
        <s v="07-01-2020"/>
        <s v="05-09-2024"/>
        <s v="08-06-2021"/>
        <s v="23-09-2020"/>
        <s v="04-03-2024"/>
        <s v="06-09-2020"/>
        <s v="31-12-2021"/>
        <s v="03-12-2023"/>
        <s v="18-07-2019"/>
        <s v="19-06-2024"/>
        <s v="12-05-2026"/>
        <s v="30-03-2025"/>
        <s v="24-03-2023"/>
        <s v="23-01-2022"/>
        <s v="13-09-2025"/>
        <s v="06-09-2023"/>
        <s v="21-08-2023"/>
        <s v="11-05-2025"/>
        <s v="26-02-2020"/>
        <s v="31-10-2022"/>
        <s v="11-03-2022"/>
        <s v="23-09-2023"/>
        <s v="26-09-2025"/>
        <s v="16-11-2019"/>
        <s v="13-06-2022"/>
        <s v="28-05-2022"/>
        <s v="30-10-2025"/>
        <s v="13-10-2021"/>
        <s v="11-03-2020"/>
        <s v="01-06-2025"/>
        <s v="18-01-2025"/>
        <s v="07-10-2023"/>
        <s v="20-03-2025"/>
        <s v="12-09-2019"/>
        <s v="01-04-2023"/>
        <s v="24-02-2021"/>
        <s v="27-02-2021"/>
        <s v="15-04-2026"/>
        <s v="12-02-2021"/>
        <s v="27-11-2021"/>
        <s v="19-08-2022"/>
        <s v="24-09-2022"/>
        <s v="01-06-2022"/>
        <s v="18-02-2019"/>
        <s v="07-08-2022"/>
        <s v="02-02-2024"/>
        <s v="08-02-2019"/>
        <s v="01-02-2022"/>
        <s v="22-04-2024"/>
        <s v="03-11-2021"/>
        <s v="29-09-2020"/>
        <s v="06-02-2020"/>
        <s v="02-04-2023"/>
        <s v="05-07-2024"/>
        <s v="27-10-2024"/>
        <s v="05-07-2021"/>
        <s v="17-03-2021"/>
        <s v="08-06-2024"/>
        <s v="18-02-2020"/>
        <s v="16-08-2025"/>
        <s v="17-05-2023"/>
        <s v="06-08-2023"/>
        <s v="06-10-2020"/>
        <s v="01-05-2022"/>
        <s v="20-02-2022"/>
        <s v="03-04-2026"/>
        <s v="30-12-2022"/>
        <s v="30-08-2025"/>
        <s v="01-02-2021"/>
        <s v="04-05-2021"/>
        <s v="15-07-2024"/>
        <s v="28-09-2025"/>
        <s v="06-06-2021"/>
        <s v="25-12-2024"/>
        <s v="23-04-2022"/>
        <s v="30-05-2023"/>
        <s v="29-03-2020"/>
        <d v="2020-09-07T00:00:00"/>
        <s v="01-09-2025"/>
        <s v="05-04-2019"/>
        <s v="24-02-2020"/>
        <s v="30-03-2023"/>
        <s v="25-06-2025"/>
        <s v="29-11-2022"/>
        <s v="23-08-2020"/>
        <s v="01-07-2022"/>
        <s v="24-02-2025"/>
        <s v="03-05-2024"/>
        <s v="08-03-2025"/>
        <s v="27-11-2019"/>
        <s v="29-09-2023"/>
        <s v="16-06-2026"/>
        <s v="25-10-2020"/>
        <s v="07-10-2022"/>
        <s v="08-06-2025"/>
        <d v="2024-07-26T00:00:00"/>
        <s v="19-10-2023"/>
        <s v="29-12-2021"/>
        <s v="28-11-2020"/>
        <s v="23-01-2019"/>
        <s v="08-08-2023"/>
        <s v="04-09-2024"/>
        <s v="14-02-2024"/>
        <d v="2025-01-31T00:00:00"/>
        <s v="31-10-2024"/>
        <s v="02-11-2019"/>
        <d v="2025-07-18T00:00:00"/>
        <s v="25-11-2020"/>
        <s v="13-01-2021"/>
        <s v="15-09-2019"/>
        <s v="22-10-2019"/>
        <s v="02-07-2021"/>
        <s v="30-03-2022"/>
        <s v="18-08-2019"/>
        <s v="21-05-2022"/>
        <s v="30-08-2024"/>
        <s v="19-08-2021"/>
        <s v="16-02-2026"/>
        <s v="04-09-2022"/>
        <s v="10-04-2020"/>
        <s v="28-08-2023"/>
        <s v="13-02-2022"/>
        <s v="25-09-2022"/>
        <s v="25-08-2022"/>
        <s v="02-05-2025"/>
        <s v="20-01-2021"/>
        <s v="14-01-2019"/>
        <s v="10-04-2019"/>
        <s v="18-07-2024"/>
        <s v="30-10-2023"/>
        <s v="06-06-2020"/>
        <s v="13-05-2023"/>
        <s v="24-06-2020"/>
        <s v="02-07-2019"/>
        <s v="30-07-2024"/>
        <s v="02-10-2024"/>
        <s v="30-08-2021"/>
        <s v="18-09-2025"/>
        <s v="14-09-2020"/>
        <s v="19-11-2022"/>
        <s v="11-10-2019"/>
        <s v="28-12-2021"/>
        <s v="25-12-2020"/>
        <s v="22-11-2019"/>
        <s v="22-01-2023"/>
        <s v="12-11-2020"/>
        <s v="29-01-2023"/>
        <s v="24-02-2026"/>
        <s v="23-04-2020"/>
        <s v="06-11-2022"/>
        <s v="30-04-2020"/>
        <s v="22-09-2024"/>
        <s v="06-11-2019"/>
        <s v="29-07-2020"/>
        <s v="02-12-2021"/>
        <s v="27-05-2024"/>
        <s v="03-07-2024"/>
        <s v="04-01-2024"/>
        <s v="16-09-2022"/>
        <s v="06-04-2019"/>
        <s v="08-08-2020"/>
        <s v="20-10-2023"/>
        <s v="19-05-2019"/>
        <s v="14-02-2020"/>
        <s v="05-06-2025"/>
        <s v="28-07-2025"/>
        <s v="22-10-2020"/>
        <s v="23-06-2024"/>
        <s v="18-03-2020"/>
        <s v="27-08-2023"/>
        <s v="25-02-2022"/>
        <s v="21-07-2024"/>
        <s v="11-07-2020"/>
        <s v="26-12-2022"/>
        <s v="15-06-2026"/>
        <s v="11-06-2021"/>
        <s v="07-12-2019"/>
        <s v="02-02-2021"/>
        <s v="24-03-2025"/>
        <s v="07-10-2025"/>
        <s v="17-12-2022"/>
        <s v="01-11-2021"/>
        <s v="18-09-2023"/>
        <s v="04-02-2024"/>
        <s v="13-03-2022"/>
        <s v="13-10-2024"/>
        <s v="04-07-2019"/>
        <s v="24-03-2021"/>
        <s v="24-11-2019"/>
        <s v="06-06-2024"/>
        <s v="13-07-2024"/>
        <s v="29-07-2023"/>
        <d v="2023-02-05T00:00:00"/>
        <s v="06-04-2020"/>
        <s v="09-02-2021"/>
        <s v="28-07-2019"/>
        <s v="15-09-2021"/>
        <s v="13-02-2019"/>
        <s v="12-03-2019"/>
        <d v="2019-07-27T00:00:00"/>
        <s v="02-11-2025"/>
        <s v="28-04-2026"/>
        <s v="17-02-2020"/>
        <s v="17-05-2024"/>
        <s v="02-06-2022"/>
        <s v="02-02-2023"/>
        <s v="01-07-2020"/>
        <s v="16-02-2021"/>
        <s v="06-11-2021"/>
        <s v="01-11-2023"/>
        <s v="05-05-2023"/>
        <s v="15-06-2023"/>
        <s v="11-02-2019"/>
        <s v="25-05-2021"/>
        <s v="31-08-2023"/>
        <s v="16-04-2019"/>
        <s v="24-04-2020"/>
        <s v="07-03-2022"/>
        <s v="01-06-2021"/>
        <s v="10-09-2025"/>
        <s v="30-05-2020"/>
        <s v="14-07-2024"/>
        <s v="26-01-2025"/>
        <s v="12-05-2021"/>
        <s v="11-05-2023"/>
        <s v="20-08-2024"/>
        <s v="29-06-2023"/>
      </sharedItems>
    </cacheField>
    <cacheField name="ExitDate" numFmtId="0">
      <sharedItems containsBlank="1" count="178">
        <m/>
        <s v="24-05-2025"/>
        <s v="29-05-2023"/>
        <s v="26-03-2022"/>
        <s v="04-11-2022"/>
        <s v="01-08-2025"/>
        <s v="25-09-2025"/>
        <s v="31-08-2023"/>
        <s v="10-02-2026"/>
        <s v="11-09-2025"/>
        <s v="23-07-2025"/>
        <s v="04-09-2023"/>
        <s v="09-07-2023"/>
        <s v="30-03-2022"/>
        <s v="24-04-2022"/>
        <s v="21-10-2024"/>
        <s v="04-01-2025"/>
        <s v="01-06-2022"/>
        <s v="30-11-2025"/>
        <s v="09-04-2026"/>
        <s v="24-08-2022"/>
        <s v="18-01-2026"/>
        <s v="23-08-2023"/>
        <s v="10-11-2022"/>
        <s v="21-01-2023"/>
        <s v="30-03-2026"/>
        <s v="15-06-2023"/>
        <s v="10-08-2020"/>
        <s v="01-12-2025"/>
        <s v="02-06-2025"/>
        <s v="08-01-2026"/>
        <s v="27-06-2025"/>
        <s v="11-11-2025"/>
        <s v="06-04-2022"/>
        <s v="16-03-2024"/>
        <s v="26-06-2026"/>
        <s v="26-09-2024"/>
        <s v="28-06-2022"/>
        <s v="09-04-2024"/>
        <s v="24-07-2022"/>
        <s v="13-11-2025"/>
        <s v="18-02-2025"/>
        <s v="17-05-2026"/>
        <s v="26-12-2025"/>
        <s v="24-04-2025"/>
        <s v="16-05-2026"/>
        <s v="17-05-2025"/>
        <s v="05-07-2025"/>
        <s v="22-01-2025"/>
        <s v="27-06-2026"/>
        <s v="03-12-2025"/>
        <s v="10-06-2026"/>
        <s v="17-08-2024"/>
        <s v="20-04-2024"/>
        <s v="03-04-2024"/>
        <s v="18-12-2025"/>
        <s v="09-07-2021"/>
        <s v="27-05-2026"/>
        <s v="02-02-2024"/>
        <s v="15-06-2026"/>
        <s v="25-05-2024"/>
        <s v="28-05-2025"/>
        <s v="19-02-2026"/>
        <s v="30-05-2026"/>
        <s v="04-09-2025"/>
        <s v="22-07-2022"/>
        <s v="13-04-2024"/>
        <s v="06-09-2025"/>
        <s v="23-01-2023"/>
        <s v="17-09-2022"/>
        <s v="23-03-2022"/>
        <s v="12-05-2021"/>
        <s v="08-12-2023"/>
        <s v="18-03-2023"/>
        <s v="05-01-2026"/>
        <s v="16-03-2026"/>
        <s v="18-11-2025"/>
        <s v="23-09-2025"/>
        <s v="25-02-2025"/>
        <s v="08-04-2025"/>
        <s v="15-12-2025"/>
        <s v="14-03-2025"/>
        <s v="03-05-2026"/>
        <s v="19-04-2023"/>
        <s v="13-07-2024"/>
        <s v="12-02-2026"/>
        <s v="27-01-2023"/>
        <s v="29-06-2026"/>
        <s v="09-06-2020"/>
        <s v="28-03-2023"/>
        <s v="15-04-2022"/>
        <s v="31-03-2021"/>
        <s v="06-02-2026"/>
        <s v="08-02-2023"/>
        <s v="29-03-2024"/>
        <s v="17-04-2024"/>
        <s v="13-08-2023"/>
        <s v="25-03-2021"/>
        <s v="28-05-2024"/>
        <s v="13-12-2025"/>
        <s v="16-04-2025"/>
        <s v="31-01-2026"/>
        <s v="01-10-2023"/>
        <s v="06-01-2025"/>
        <s v="17-10-2025"/>
        <s v="11-04-2025"/>
        <s v="23-06-2022"/>
        <s v="20-05-2023"/>
        <s v="02-08-2024"/>
        <s v="14-07-2025"/>
        <s v="08-02-2025"/>
        <s v="29-07-2025"/>
        <s v="13-06-2026"/>
        <s v="13-04-2026"/>
        <s v="26-12-2020"/>
        <s v="19-07-2022"/>
        <s v="08-04-2026"/>
        <s v="26-04-2021"/>
        <s v="07-05-2026"/>
        <s v="13-07-2025"/>
        <s v="15-08-2025"/>
        <s v="19-03-2025"/>
        <s v="29-05-2026"/>
        <s v="15-05-2026"/>
        <s v="04-05-2023"/>
        <s v="14-06-2025"/>
        <s v="09-06-2026"/>
        <s v="06-03-2023"/>
        <s v="01-07-2025"/>
        <s v="05-05-2024"/>
        <s v="23-02-2026"/>
        <s v="28-01-2021"/>
        <s v="26-04-2025"/>
        <s v="30-12-2025"/>
        <s v="25-11-2025"/>
        <s v="18-01-2023"/>
        <s v="08-05-2024"/>
        <s v="17-12-2022"/>
        <s v="19-08-2021"/>
        <s v="07-05-2025"/>
        <s v="17-02-2021"/>
        <s v="27-07-2023"/>
        <s v="01-04-2023"/>
        <s v="23-01-2022"/>
        <s v="15-10-2023"/>
        <s v="13-02-2025"/>
        <s v="01-02-2023"/>
        <s v="31-03-2025"/>
        <s v="21-03-2024"/>
        <s v="09-02-2023"/>
        <s v="27-05-2019"/>
        <s v="07-09-2019"/>
        <s v="22-03-2023"/>
        <s v="05-01-2025"/>
        <s v="20-12-2025"/>
        <s v="23-03-2025"/>
        <s v="29-01-2026"/>
        <s v="20-07-2024"/>
        <s v="03-03-2026"/>
        <s v="20-08-2025"/>
        <s v="23-02-2025"/>
        <s v="25-09-2024"/>
        <s v="15-05-2020"/>
        <s v="26-06-2024"/>
        <s v="06-05-2026"/>
        <s v="03-05-2025"/>
        <s v="06-11-2022"/>
        <s v="07-11-2024"/>
        <s v="19-12-2025"/>
        <s v="30-07-2025"/>
        <s v="31-01-2023"/>
        <s v="06-04-2023"/>
        <s v="26-01-2026"/>
        <s v="26-03-2026"/>
        <s v="16-03-2022"/>
        <s v="09-03-2025"/>
        <s v="21-04-2025"/>
        <s v="23-10-2024"/>
      </sharedItems>
    </cacheField>
    <cacheField name="AttritionStatus" numFmtId="0">
      <sharedItems count="2">
        <s v="Active"/>
        <s v="Left"/>
      </sharedItems>
    </cacheField>
    <cacheField name="MonthlyIncome" numFmtId="0">
      <sharedItems containsSemiMixedTypes="0" containsString="0" containsNumber="1" containsInteger="1" minValue="0" maxValue="111677" count="1444">
        <n v="64523"/>
        <n v="18000"/>
        <n v="44882"/>
        <n v="32671"/>
        <n v="82971"/>
        <n v="53499"/>
        <n v="43980"/>
        <n v="52079"/>
        <n v="56719"/>
        <n v="30542"/>
        <n v="40764"/>
        <n v="68265"/>
        <n v="82462"/>
        <n v="56350"/>
        <n v="50056"/>
        <n v="40332"/>
        <n v="86582"/>
        <n v="63213"/>
        <n v="31360"/>
        <n v="66931"/>
        <n v="70881"/>
        <n v="65640"/>
        <n v="72032"/>
        <n v="45586"/>
        <n v="85182"/>
        <n v="81239"/>
        <n v="45104"/>
        <n v="56713"/>
        <n v="76160"/>
        <n v="87541"/>
        <n v="42882"/>
        <n v="42163"/>
        <n v="74373"/>
        <n v="57181"/>
        <n v="58445"/>
        <n v="92621"/>
        <n v="51665"/>
        <n v="83707"/>
        <n v="51953"/>
        <n v="75142"/>
        <n v="30641"/>
        <n v="45341"/>
        <n v="40008"/>
        <n v="41156"/>
        <n v="49016"/>
        <n v="88470"/>
        <n v="69520"/>
        <n v="33606"/>
        <n v="32171"/>
        <n v="58951"/>
        <n v="64977"/>
        <n v="74940"/>
        <n v="50816"/>
        <n v="48339"/>
        <n v="45133"/>
        <n v="68683"/>
        <n v="33555"/>
        <n v="65667"/>
        <n v="70183"/>
        <n v="39111"/>
        <n v="71098"/>
        <n v="42243"/>
        <n v="58159"/>
        <n v="38638"/>
        <n v="51140"/>
        <n v="64244"/>
        <n v="71393"/>
        <n v="56626"/>
        <n v="52019"/>
        <n v="49956"/>
        <n v="61512"/>
        <n v="31625"/>
        <n v="69086"/>
        <n v="38297"/>
        <n v="66868"/>
        <n v="49009"/>
        <n v="77150"/>
        <n v="24104"/>
        <n v="78330"/>
        <n v="51800"/>
        <n v="87161"/>
        <n v="59824"/>
        <n v="41396"/>
        <n v="43343"/>
        <n v="47308"/>
        <n v="69023"/>
        <n v="84336"/>
        <n v="84132"/>
        <n v="60132"/>
        <n v="47678"/>
        <n v="54993"/>
        <n v="20475"/>
        <n v="20501"/>
        <n v="30519"/>
        <n v="44787"/>
        <n v="45153"/>
        <n v="61986"/>
        <n v="64785"/>
        <n v="86972"/>
        <n v="58430"/>
        <n v="38314"/>
        <n v="29694"/>
        <n v="38909"/>
        <n v="33560"/>
        <n v="43540"/>
        <n v="56461"/>
        <n v="79754"/>
        <n v="64863"/>
        <n v="86614"/>
        <n v="72898"/>
        <n v="26147"/>
        <n v="74075"/>
        <n v="21871"/>
        <n v="91623"/>
        <n v="67098"/>
        <n v="91028"/>
        <n v="62075"/>
        <n v="48565"/>
        <n v="98714"/>
        <n v="62900"/>
        <n v="55154"/>
        <n v="45124"/>
        <n v="38431"/>
        <n v="80047"/>
        <n v="30419"/>
        <n v="77497"/>
        <n v="36470"/>
        <n v="56195"/>
        <n v="74981"/>
        <n v="57669"/>
        <n v="70983"/>
        <n v="61528"/>
        <n v="42075"/>
        <n v="71283"/>
        <n v="42583"/>
        <n v="99228"/>
        <n v="68608"/>
        <n v="33813"/>
        <n v="68611"/>
        <n v="67174"/>
        <n v="85668"/>
        <n v="87451"/>
        <n v="46278"/>
        <n v="78870"/>
        <n v="86763"/>
        <n v="68641"/>
        <n v="48376"/>
        <n v="56511"/>
        <n v="36815"/>
        <n v="45546"/>
        <n v="42160"/>
        <n v="71053"/>
        <n v="91151"/>
        <n v="81321"/>
        <n v="68899"/>
        <n v="51178"/>
        <n v="50901"/>
        <n v="42402"/>
        <n v="74261"/>
        <n v="74724"/>
        <n v="24483"/>
        <n v="65913"/>
        <n v="45030"/>
        <n v="46746"/>
        <n v="26783"/>
        <n v="36449"/>
        <n v="77576"/>
        <n v="93946"/>
        <n v="43455"/>
        <n v="41146"/>
        <n v="30214"/>
        <n v="76235"/>
        <n v="47395"/>
        <n v="78659"/>
        <n v="44333"/>
        <n v="76553"/>
        <n v="96534"/>
        <n v="79599"/>
        <n v="73230"/>
        <n v="34498"/>
        <n v="42636"/>
        <n v="38936"/>
        <n v="30314"/>
        <n v="20933"/>
        <n v="41138"/>
        <n v="64385"/>
        <n v="56284"/>
        <n v="24604"/>
        <n v="67922"/>
        <n v="94710"/>
        <n v="46825"/>
        <n v="75084"/>
        <n v="33346"/>
        <n v="72079"/>
        <n v="43232"/>
        <n v="72296"/>
        <n v="46407"/>
        <n v="57576"/>
        <n v="75387"/>
        <n v="57769"/>
        <n v="39091"/>
        <n v="53342"/>
        <n v="84141"/>
        <n v="39634"/>
        <n v="33262"/>
        <n v="55920"/>
        <n v="70520"/>
        <n v="49922"/>
        <n v="20878"/>
        <n v="25548"/>
        <n v="66993"/>
        <n v="85385"/>
        <n v="80966"/>
        <n v="95337"/>
        <n v="44197"/>
        <n v="74623"/>
        <n v="61352"/>
        <n v="42528"/>
        <n v="33377"/>
        <n v="65299"/>
        <n v="59212"/>
        <n v="70428"/>
        <n v="34051"/>
        <n v="44523"/>
        <n v="106189"/>
        <n v="40727"/>
        <n v="55413"/>
        <n v="21628"/>
        <n v="41312"/>
        <n v="80747"/>
        <n v="55426"/>
        <n v="101240"/>
        <n v="93706"/>
        <n v="76500"/>
        <n v="56208"/>
        <n v="67082"/>
        <n v="64982"/>
        <n v="92051"/>
        <n v="53778"/>
        <n v="67135"/>
        <n v="72239"/>
        <n v="31457"/>
        <n v="35242"/>
        <n v="39564"/>
        <n v="52101"/>
        <n v="78237"/>
        <n v="24869"/>
        <n v="48354"/>
        <n v="40689"/>
        <n v="28582"/>
        <n v="34700"/>
        <n v="40585"/>
        <n v="96615"/>
        <n v="93971"/>
        <n v="85629"/>
        <n v="35081"/>
        <n v="48124"/>
        <n v="63230"/>
        <n v="55081"/>
        <n v="73032"/>
        <n v="75662"/>
        <n v="73344"/>
        <n v="22541"/>
        <n v="100586"/>
        <n v="79267"/>
        <n v="54283"/>
        <n v="46585"/>
        <n v="70904"/>
        <n v="66215"/>
        <n v="33395"/>
        <n v="51091"/>
        <n v="39569"/>
        <n v="60822"/>
        <n v="45162"/>
        <n v="40642"/>
        <n v="63588"/>
        <n v="75767"/>
        <n v="56706"/>
        <n v="69424"/>
        <n v="47631"/>
        <n v="53543"/>
        <n v="65545"/>
        <n v="19780"/>
        <n v="22804"/>
        <n v="47591"/>
        <n v="82445"/>
        <n v="36244"/>
        <n v="48147"/>
        <n v="61801"/>
        <n v="84004"/>
        <n v="48788"/>
        <n v="49298"/>
        <n v="78579"/>
        <n v="88028"/>
        <n v="65057"/>
        <n v="36266"/>
        <n v="50003"/>
        <n v="58899"/>
        <n v="72948"/>
        <n v="38122"/>
        <n v="62653"/>
        <n v="61109"/>
        <n v="33265"/>
        <n v="65857"/>
        <n v="25540"/>
        <n v="44496"/>
        <n v="64828"/>
        <n v="49233"/>
        <n v="53744"/>
        <n v="27460"/>
        <n v="61614"/>
        <n v="25297"/>
        <n v="36382"/>
        <n v="76600"/>
        <n v="48644"/>
        <n v="37735"/>
        <n v="46862"/>
        <n v="47292"/>
        <n v="46838"/>
        <n v="111677"/>
        <n v="29877"/>
        <n v="68367"/>
        <n v="65600"/>
        <n v="60142"/>
        <n v="71216"/>
        <n v="44327"/>
        <n v="18940"/>
        <n v="63027"/>
        <n v="48746"/>
        <n v="82397"/>
        <n v="82166"/>
        <n v="78257"/>
        <n v="63172"/>
        <n v="36378"/>
        <n v="53526"/>
        <n v="39591"/>
        <n v="100292"/>
        <n v="51619"/>
        <n v="72829"/>
        <n v="22453"/>
        <n v="79954"/>
        <n v="65085"/>
        <n v="61510"/>
        <n v="49952"/>
        <n v="61575"/>
        <n v="48333"/>
        <n v="78192"/>
        <n v="43287"/>
        <n v="45635"/>
        <n v="62859"/>
        <n v="58975"/>
        <n v="36183"/>
        <n v="49279"/>
        <n v="66197"/>
        <n v="32034"/>
        <n v="58220"/>
        <n v="41445"/>
        <n v="45669"/>
        <n v="32454"/>
        <n v="37771"/>
        <n v="40134"/>
        <n v="49394"/>
        <n v="48990"/>
        <n v="47935"/>
        <n v="42294"/>
        <n v="76682"/>
        <n v="59896"/>
        <n v="52484"/>
        <n v="40501"/>
        <n v="56591"/>
        <n v="50682"/>
        <n v="28293"/>
        <n v="61154"/>
        <n v="44142"/>
        <n v="33169"/>
        <n v="57379"/>
        <n v="86249"/>
        <n v="84427"/>
        <n v="79928"/>
        <n v="33009"/>
        <n v="59253"/>
        <n v="29744"/>
        <n v="25811"/>
        <n v="33195"/>
        <n v="46657"/>
        <n v="38673"/>
        <n v="62100"/>
        <n v="72750"/>
        <n v="30228"/>
        <n v="25119"/>
        <n v="44958"/>
        <n v="77308"/>
        <n v="87140"/>
        <n v="21735"/>
        <n v="57676"/>
        <n v="54403"/>
        <n v="44339"/>
        <n v="45822"/>
        <n v="70037"/>
        <n v="62128"/>
        <n v="53676"/>
        <n v="45996"/>
        <n v="107628"/>
        <n v="79562"/>
        <n v="57440"/>
        <n v="46556"/>
        <n v="87697"/>
        <n v="37036"/>
        <n v="44571"/>
        <n v="57906"/>
        <n v="37281"/>
        <n v="51348"/>
        <n v="70773"/>
        <n v="34727"/>
        <n v="69515"/>
        <n v="90208"/>
        <n v="85180"/>
        <n v="48386"/>
        <n v="61932"/>
        <n v="29152"/>
        <n v="40261"/>
        <n v="46498"/>
        <n v="64668"/>
        <n v="72640"/>
        <n v="76533"/>
        <n v="67747"/>
        <n v="87152"/>
        <n v="42059"/>
        <n v="67319"/>
        <n v="65439"/>
        <n v="74246"/>
        <n v="55651"/>
        <n v="73261"/>
        <n v="59227"/>
        <n v="40186"/>
        <n v="48068"/>
        <n v="36490"/>
        <n v="65610"/>
        <n v="73512"/>
        <n v="48041"/>
        <n v="78264"/>
        <n v="25989"/>
        <n v="77712"/>
        <n v="64920"/>
        <n v="32977"/>
        <n v="50193"/>
        <n v="59644"/>
        <n v="78637"/>
        <n v="76505"/>
        <n v="60088"/>
        <n v="64353"/>
        <n v="57640"/>
        <n v="47595"/>
        <n v="53339"/>
        <n v="20000"/>
        <n v="64341"/>
        <n v="72704"/>
        <n v="35380"/>
        <n v="79713"/>
        <n v="50540"/>
        <n v="54252"/>
        <n v="45031"/>
        <n v="73844"/>
        <n v="45835"/>
        <n v="76042"/>
        <n v="34655"/>
        <n v="39070"/>
        <n v="71149"/>
        <n v="87715"/>
        <n v="57330"/>
        <n v="62177"/>
        <n v="48530"/>
        <n v="64507"/>
        <n v="58573"/>
        <n v="63023"/>
        <n v="44249"/>
        <n v="57621"/>
        <n v="69948"/>
        <n v="68740"/>
        <n v="77913"/>
        <n v="63231"/>
        <n v="58699"/>
        <n v="55326"/>
        <n v="72092"/>
        <n v="61929"/>
        <n v="64382"/>
        <n v="52955"/>
        <n v="59151"/>
        <n v="36437"/>
        <n v="62475"/>
        <n v="49688"/>
        <n v="37391"/>
        <n v="61612"/>
        <n v="35355"/>
        <n v="37460"/>
        <n v="71915"/>
        <n v="31428"/>
        <n v="73096"/>
        <n v="68991"/>
        <n v="66676"/>
        <n v="41483"/>
        <n v="44482"/>
        <n v="49117"/>
        <n v="43585"/>
        <n v="40793"/>
        <n v="74649"/>
        <n v="44064"/>
        <n v="33696"/>
        <n v="22936"/>
        <n v="35654"/>
        <n v="48675"/>
        <n v="65450"/>
        <n v="57104"/>
        <n v="60505"/>
        <n v="38719"/>
        <n v="39060"/>
        <n v="57335"/>
        <n v="42672"/>
        <n v="69752"/>
        <n v="58027"/>
        <n v="47820"/>
        <n v="97972"/>
        <n v="56991"/>
        <n v="101805"/>
        <n v="35432"/>
        <n v="47728"/>
        <n v="82369"/>
        <n v="74302"/>
        <n v="95374"/>
        <n v="81991"/>
        <n v="32743"/>
        <n v="19684"/>
        <n v="56677"/>
        <n v="67049"/>
        <n v="77245"/>
        <n v="60054"/>
        <n v="60924"/>
        <n v="55036"/>
        <n v="64765"/>
        <n v="73208"/>
        <n v="77267"/>
        <n v="59047"/>
        <n v="38758"/>
        <n v="55387"/>
        <n v="26877"/>
        <n v="54343"/>
        <n v="40411"/>
        <n v="39491"/>
        <n v="62302"/>
        <n v="27262"/>
        <n v="74447"/>
        <n v="68147"/>
        <n v="62888"/>
        <n v="57208"/>
        <n v="61849"/>
        <n v="32389"/>
        <n v="32287"/>
        <n v="57056"/>
        <n v="64840"/>
        <n v="51286"/>
        <n v="37792"/>
        <n v="90612"/>
        <n v="63642"/>
        <n v="61846"/>
        <n v="35574"/>
        <n v="60290"/>
        <n v="81223"/>
        <n v="46418"/>
        <n v="71191"/>
        <n v="64468"/>
        <n v="46712"/>
        <n v="73454"/>
        <n v="59429"/>
        <n v="57770"/>
        <n v="70903"/>
        <n v="76216"/>
        <n v="46119"/>
        <n v="21510"/>
        <n v="41331"/>
        <n v="32379"/>
        <n v="21100"/>
        <n v="58233"/>
        <n v="42046"/>
        <n v="43421"/>
        <n v="70129"/>
        <n v="43525"/>
        <n v="107501"/>
        <n v="19904"/>
        <n v="54748"/>
        <n v="50200"/>
        <n v="36521"/>
        <n v="56568"/>
        <n v="51171"/>
        <n v="73845"/>
        <n v="53109"/>
        <n v="23341"/>
        <n v="61980"/>
        <n v="53152"/>
        <n v="51557"/>
        <n v="41264"/>
        <n v="79341"/>
        <n v="67283"/>
        <n v="79039"/>
        <n v="104314"/>
        <n v="45685"/>
        <n v="49164"/>
        <n v="62132"/>
        <n v="27665"/>
        <n v="50002"/>
        <n v="72192"/>
        <n v="44400"/>
        <n v="41473"/>
        <n v="37101"/>
        <n v="63318"/>
        <n v="51512"/>
        <n v="47377"/>
        <n v="57115"/>
        <n v="76787"/>
        <n v="83649"/>
        <n v="57022"/>
        <n v="44925"/>
        <n v="53804"/>
        <n v="60640"/>
        <n v="47543"/>
        <n v="39149"/>
        <n v="41942"/>
        <n v="79223"/>
        <n v="57820"/>
        <n v="50409"/>
        <n v="66387"/>
        <n v="63292"/>
        <n v="47659"/>
        <n v="23892"/>
        <n v="70323"/>
        <n v="54179"/>
        <n v="78281"/>
        <n v="91632"/>
        <n v="52851"/>
        <n v="96114"/>
        <n v="35411"/>
        <n v="63433"/>
        <n v="67240"/>
        <n v="50383"/>
        <n v="56311"/>
        <n v="36561"/>
        <n v="84478"/>
        <n v="31431"/>
        <n v="48089"/>
        <n v="83606"/>
        <n v="40342"/>
        <n v="50036"/>
        <n v="60854"/>
        <n v="62985"/>
        <n v="83256"/>
        <n v="70057"/>
        <n v="62234"/>
        <n v="72287"/>
        <n v="70692"/>
        <n v="59225"/>
        <n v="92254"/>
        <n v="73350"/>
        <n v="75716"/>
        <n v="50406"/>
        <n v="56918"/>
        <n v="42941"/>
        <n v="67565"/>
        <n v="56863"/>
        <n v="33849"/>
        <n v="56607"/>
        <n v="74873"/>
        <n v="65795"/>
        <n v="58371"/>
        <n v="66109"/>
        <n v="38575"/>
        <n v="56800"/>
        <n v="54452"/>
        <n v="52036"/>
        <n v="43127"/>
        <n v="54099"/>
        <n v="45583"/>
        <n v="85054"/>
        <n v="77126"/>
        <n v="48830"/>
        <n v="32226"/>
        <n v="38712"/>
        <n v="40766"/>
        <n v="41835"/>
        <n v="79101"/>
        <n v="61617"/>
        <n v="35811"/>
        <n v="43038"/>
        <n v="29842"/>
        <n v="76590"/>
        <n v="19475"/>
        <n v="60471"/>
        <n v="42395"/>
        <n v="25207"/>
        <n v="75248"/>
        <n v="72455"/>
        <n v="43314"/>
        <n v="59838"/>
        <n v="63348"/>
        <n v="61233"/>
        <n v="21887"/>
        <n v="58793"/>
        <n v="32870"/>
        <n v="66592"/>
        <n v="51749"/>
        <n v="63403"/>
        <n v="38464"/>
        <n v="75493"/>
        <n v="49089"/>
        <n v="70575"/>
        <n v="52638"/>
        <n v="35234"/>
        <n v="92680"/>
        <n v="71849"/>
        <n v="60931"/>
        <n v="50882"/>
        <n v="51501"/>
        <n v="67562"/>
        <n v="66857"/>
        <n v="32656"/>
        <n v="39666"/>
        <n v="38805"/>
        <n v="56555"/>
        <n v="54516"/>
        <n v="61003"/>
        <n v="79581"/>
        <n v="60029"/>
        <n v="51492"/>
        <n v="50424"/>
        <n v="35051"/>
        <n v="96049"/>
        <n v="58589"/>
        <n v="42974"/>
        <n v="80139"/>
        <n v="40520"/>
        <n v="42400"/>
        <n v="60191"/>
        <n v="55766"/>
        <n v="81926"/>
        <n v="46599"/>
        <n v="47289"/>
        <n v="67204"/>
        <n v="35724"/>
        <n v="26281"/>
        <n v="73841"/>
        <n v="80617"/>
        <n v="71913"/>
        <n v="53254"/>
        <n v="22573"/>
        <n v="72995"/>
        <n v="42151"/>
        <n v="28550"/>
        <n v="61636"/>
        <n v="43768"/>
        <n v="33912"/>
        <n v="64282"/>
        <n v="37958"/>
        <n v="88761"/>
        <n v="57241"/>
        <n v="71721"/>
        <n v="79244"/>
        <n v="77423"/>
        <n v="49101"/>
        <n v="55014"/>
        <n v="57255"/>
        <n v="74400"/>
        <n v="66826"/>
        <n v="44867"/>
        <n v="32044"/>
        <n v="33405"/>
        <n v="58910"/>
        <n v="40656"/>
        <n v="27571"/>
        <n v="62747"/>
        <n v="35746"/>
        <n v="72645"/>
        <n v="66758"/>
        <n v="65270"/>
        <n v="34222"/>
        <n v="52896"/>
        <n v="40316"/>
        <n v="59484"/>
        <n v="60669"/>
        <n v="21625"/>
        <n v="78772"/>
        <n v="61596"/>
        <n v="57423"/>
        <n v="67217"/>
        <n v="59459"/>
        <n v="38296"/>
        <n v="79317"/>
        <n v="106791"/>
        <n v="55549"/>
        <n v="63570"/>
        <n v="43587"/>
        <n v="55577"/>
        <n v="30746"/>
        <n v="49836"/>
        <n v="37585"/>
        <n v="78753"/>
        <n v="57075"/>
        <n v="45099"/>
        <n v="81416"/>
        <n v="98809"/>
        <n v="86126"/>
        <n v="41693"/>
        <n v="34779"/>
        <n v="46770"/>
        <n v="52245"/>
        <n v="71529"/>
        <n v="30537"/>
        <n v="42535"/>
        <n v="46454"/>
        <n v="95310"/>
        <n v="41079"/>
        <n v="69286"/>
        <n v="46749"/>
        <n v="41045"/>
        <n v="38510"/>
        <n v="60955"/>
        <n v="43333"/>
        <n v="37150"/>
        <n v="62916"/>
        <n v="36595"/>
        <n v="62507"/>
        <n v="65847"/>
        <n v="44828"/>
        <n v="92251"/>
        <n v="20839"/>
        <n v="40774"/>
        <n v="64791"/>
        <n v="68437"/>
        <n v="57685"/>
        <n v="24205"/>
        <n v="21262"/>
        <n v="65555"/>
        <n v="64225"/>
        <n v="46731"/>
        <n v="95843"/>
        <n v="23041"/>
        <n v="60295"/>
        <n v="46570"/>
        <n v="34245"/>
        <n v="70858"/>
        <n v="68737"/>
        <n v="50430"/>
        <n v="71863"/>
        <n v="52264"/>
        <n v="79333"/>
        <n v="45094"/>
        <n v="26794"/>
        <n v="72862"/>
        <n v="62164"/>
        <n v="54300"/>
        <n v="34788"/>
        <n v="40558"/>
        <n v="62007"/>
        <n v="53257"/>
        <n v="89947"/>
        <n v="26850"/>
        <n v="80784"/>
        <n v="45616"/>
        <n v="31404"/>
        <n v="34500"/>
        <n v="40478"/>
        <n v="21540"/>
        <n v="36602"/>
        <n v="46646"/>
        <n v="63998"/>
        <n v="25509"/>
        <n v="98317"/>
        <n v="40835"/>
        <n v="22182"/>
        <n v="57609"/>
        <n v="40096"/>
        <n v="71634"/>
        <n v="77506"/>
        <n v="75524"/>
        <n v="38383"/>
        <n v="53074"/>
        <n v="44469"/>
        <n v="75074"/>
        <n v="46726"/>
        <n v="79166"/>
        <n v="57910"/>
        <n v="60122"/>
        <n v="70762"/>
        <n v="46730"/>
        <n v="27450"/>
        <n v="84190"/>
        <n v="34905"/>
        <n v="66174"/>
        <n v="61009"/>
        <n v="54994"/>
        <n v="74526"/>
        <n v="48424"/>
        <n v="50687"/>
        <n v="55566"/>
        <n v="63915"/>
        <n v="63450"/>
        <n v="57080"/>
        <n v="53227"/>
        <n v="62311"/>
        <n v="63429"/>
        <n v="47721"/>
        <n v="50062"/>
        <n v="28200"/>
        <n v="29033"/>
        <n v="54942"/>
        <n v="34936"/>
        <n v="60659"/>
        <n v="53919"/>
        <n v="54354"/>
        <n v="39814"/>
        <n v="55348"/>
        <n v="75287"/>
        <n v="18628"/>
        <n v="39985"/>
        <n v="55382"/>
        <n v="58709"/>
        <n v="81055"/>
        <n v="31793"/>
        <n v="56217"/>
        <n v="89793"/>
        <n v="82386"/>
        <n v="57217"/>
        <n v="58714"/>
        <n v="58317"/>
        <n v="42063"/>
        <n v="59347"/>
        <n v="59464"/>
        <n v="31926"/>
        <n v="39182"/>
        <n v="24450"/>
        <n v="91887"/>
        <n v="41086"/>
        <n v="27664"/>
        <n v="57479"/>
        <n v="69966"/>
        <n v="51053"/>
        <n v="21573"/>
        <n v="37163"/>
        <n v="19395"/>
        <n v="94022"/>
        <n v="65841"/>
        <n v="47599"/>
        <n v="41076"/>
        <n v="49316"/>
        <n v="60651"/>
        <n v="41197"/>
        <n v="61348"/>
        <n v="91311"/>
        <n v="31824"/>
        <n v="50435"/>
        <n v="28974"/>
        <n v="78524"/>
        <n v="60271"/>
        <n v="66447"/>
        <n v="20100"/>
        <n v="63656"/>
        <n v="75502"/>
        <n v="95174"/>
        <n v="82489"/>
        <n v="92523"/>
        <n v="30432"/>
        <n v="39059"/>
        <n v="40773"/>
        <n v="88188"/>
        <n v="74372"/>
        <n v="63644"/>
        <n v="60083"/>
        <n v="53493"/>
        <n v="71117"/>
        <n v="54380"/>
        <n v="72132"/>
        <n v="56457"/>
        <n v="60623"/>
        <n v="40883"/>
        <n v="64682"/>
        <n v="34215"/>
        <n v="22488"/>
        <n v="96790"/>
        <n v="56518"/>
        <n v="25517"/>
        <n v="40248"/>
        <n v="73114"/>
        <n v="42321"/>
        <n v="46521"/>
        <n v="27010"/>
        <n v="27971"/>
        <n v="48056"/>
        <n v="46982"/>
        <n v="48110"/>
        <n v="56623"/>
        <n v="61111"/>
        <n v="59936"/>
        <n v="90735"/>
        <n v="63502"/>
        <n v="72389"/>
        <n v="77168"/>
        <n v="33981"/>
        <n v="87812"/>
        <n v="81853"/>
        <n v="53451"/>
        <n v="67819"/>
        <n v="39134"/>
        <n v="65491"/>
        <n v="62651"/>
        <n v="36616"/>
        <n v="59698"/>
        <n v="82203"/>
        <n v="38671"/>
        <n v="62481"/>
        <n v="19261"/>
        <n v="51260"/>
        <n v="48162"/>
        <n v="70679"/>
        <n v="38117"/>
        <n v="31134"/>
        <n v="67286"/>
        <n v="66991"/>
        <n v="79744"/>
        <n v="64281"/>
        <n v="64921"/>
        <n v="58729"/>
        <n v="89551"/>
        <n v="42663"/>
        <n v="51921"/>
        <n v="59594"/>
        <n v="101695"/>
        <n v="63017"/>
        <n v="77134"/>
        <n v="69282"/>
        <n v="52960"/>
        <n v="57452"/>
        <n v="57037"/>
        <n v="74915"/>
        <n v="67249"/>
        <n v="64618"/>
        <n v="56532"/>
        <n v="89443"/>
        <n v="43418"/>
        <n v="52005"/>
        <n v="33823"/>
        <n v="37251"/>
        <n v="29702"/>
        <n v="37788"/>
        <n v="72009"/>
        <n v="49239"/>
        <n v="47345"/>
        <n v="26857"/>
        <n v="64890"/>
        <n v="46295"/>
        <n v="46918"/>
        <n v="53338"/>
        <n v="55687"/>
        <n v="48405"/>
        <n v="57571"/>
        <n v="64538"/>
        <n v="66591"/>
        <n v="48268"/>
        <n v="74485"/>
        <n v="41047"/>
        <n v="85633"/>
        <n v="36042"/>
        <n v="43250"/>
        <n v="52873"/>
        <n v="59502"/>
        <n v="34501"/>
        <n v="62887"/>
        <n v="99192"/>
        <n v="49912"/>
        <n v="73720"/>
        <n v="88202"/>
        <n v="63010"/>
        <n v="77597"/>
        <n v="75464"/>
        <n v="34460"/>
        <n v="53725"/>
        <n v="65480"/>
        <n v="44748"/>
        <n v="68258"/>
        <n v="37022"/>
        <n v="56140"/>
        <n v="32418"/>
        <n v="46568"/>
        <n v="74906"/>
        <n v="50502"/>
        <n v="67967"/>
        <n v="44662"/>
        <n v="59534"/>
        <n v="77495"/>
        <n v="84727"/>
        <n v="68626"/>
        <n v="48797"/>
        <n v="36094"/>
        <n v="75672"/>
        <n v="64124"/>
        <n v="27344"/>
        <n v="52705"/>
        <n v="53729"/>
        <n v="57410"/>
        <n v="45665"/>
        <n v="64401"/>
        <n v="87177"/>
        <n v="76346"/>
        <n v="34347"/>
        <n v="51716"/>
        <n v="63067"/>
        <n v="87741"/>
        <n v="85464"/>
        <n v="62573"/>
        <n v="50515"/>
        <n v="39018"/>
        <n v="63311"/>
        <n v="31705"/>
        <n v="47457"/>
        <n v="54336"/>
        <n v="61181"/>
        <n v="56238"/>
        <n v="62272"/>
        <n v="110132"/>
        <n v="42358"/>
        <n v="86073"/>
        <n v="39761"/>
        <n v="81539"/>
        <n v="53122"/>
        <n v="68973"/>
        <n v="38796"/>
        <n v="65682"/>
        <n v="65812"/>
        <n v="52801"/>
        <n v="36492"/>
        <n v="57517"/>
        <n v="38005"/>
        <n v="62549"/>
        <n v="85412"/>
        <n v="51121"/>
        <n v="55223"/>
        <n v="63024"/>
        <n v="45758"/>
        <n v="43328"/>
        <n v="54718"/>
        <n v="58962"/>
        <n v="49682"/>
        <n v="76448"/>
        <n v="26283"/>
        <n v="55788"/>
        <n v="29401"/>
        <n v="32856"/>
        <n v="94621"/>
        <n v="48603"/>
        <n v="34854"/>
        <n v="44908"/>
        <n v="32000"/>
        <n v="52239"/>
        <n v="55927"/>
        <n v="72605"/>
        <n v="68696"/>
        <n v="65574"/>
        <n v="29184"/>
        <n v="78371"/>
        <n v="55853"/>
        <n v="62541"/>
        <n v="54918"/>
        <n v="72625"/>
        <n v="60141"/>
        <n v="30688"/>
        <n v="70317"/>
        <n v="49347"/>
        <n v="64265"/>
        <n v="74646"/>
        <n v="65083"/>
        <n v="26580"/>
        <n v="69428"/>
        <n v="78656"/>
        <n v="64777"/>
        <n v="61639"/>
        <n v="61473"/>
        <n v="55359"/>
        <n v="47133"/>
        <n v="82658"/>
        <n v="37120"/>
        <n v="81898"/>
        <n v="92785"/>
        <n v="85039"/>
        <n v="37549"/>
        <n v="26208"/>
        <n v="37054"/>
        <n v="44881"/>
        <n v="50332"/>
        <n v="54985"/>
        <n v="63478"/>
        <n v="56149"/>
        <n v="88789"/>
        <n v="40467"/>
        <n v="31832"/>
        <n v="76820"/>
        <n v="52177"/>
        <n v="25590"/>
        <n v="31691"/>
        <n v="42222"/>
        <n v="89234"/>
        <n v="50654"/>
        <n v="36847"/>
        <n v="61509"/>
        <n v="50266"/>
        <n v="76303"/>
        <n v="56093"/>
        <n v="61267"/>
        <n v="67965"/>
        <n v="31835"/>
        <n v="74472"/>
        <n v="25352"/>
        <n v="50083"/>
        <n v="61597"/>
        <n v="49978"/>
        <n v="102117"/>
        <n v="31979"/>
        <n v="66511"/>
        <n v="45960"/>
        <n v="76943"/>
        <n v="35986"/>
        <n v="57986"/>
        <n v="60742"/>
        <n v="34844"/>
        <n v="39606"/>
        <n v="30899"/>
        <n v="64959"/>
        <n v="51960"/>
        <n v="30796"/>
        <n v="80488"/>
        <n v="80021"/>
        <n v="35301"/>
        <n v="38659"/>
        <n v="45528"/>
        <n v="48988"/>
        <n v="68272"/>
        <n v="78127"/>
        <n v="48983"/>
        <n v="62881"/>
        <n v="82174"/>
        <n v="80132"/>
        <n v="37126"/>
        <n v="26866"/>
        <n v="22976"/>
        <n v="60691"/>
        <n v="50513"/>
        <n v="69218"/>
        <n v="52306"/>
        <n v="105113"/>
        <n v="37222"/>
        <n v="69081"/>
        <n v="53672"/>
        <n v="85233"/>
        <n v="56780"/>
        <n v="63201"/>
        <n v="83704"/>
        <n v="76183"/>
        <n v="50353"/>
        <n v="69733"/>
        <n v="65436"/>
        <n v="52152"/>
        <n v="59241"/>
        <n v="76956"/>
        <n v="48258"/>
        <n v="20332"/>
        <n v="63771"/>
        <n v="52042"/>
        <n v="63499"/>
        <n v="70080"/>
        <n v="92127"/>
        <n v="51473"/>
        <n v="46396"/>
        <n v="34300"/>
        <n v="64974"/>
        <n v="70275"/>
        <n v="55083"/>
        <n v="69790"/>
        <n v="73283"/>
        <n v="72467"/>
        <n v="19800"/>
        <n v="47495"/>
        <n v="69147"/>
        <n v="46110"/>
        <n v="63347"/>
        <n v="60371"/>
        <n v="35893"/>
        <n v="47712"/>
        <n v="61321"/>
        <n v="65037"/>
        <n v="29280"/>
        <n v="41622"/>
        <n v="61590"/>
        <n v="53740"/>
        <n v="56245"/>
        <n v="31372"/>
        <n v="43612"/>
        <n v="23857"/>
        <n v="85325"/>
        <n v="74809"/>
        <n v="46052"/>
        <n v="54787"/>
        <n v="71037"/>
        <n v="48302"/>
        <n v="68161"/>
        <n v="74537"/>
        <n v="42669"/>
        <n v="68788"/>
        <n v="28307"/>
        <n v="86141"/>
        <n v="39902"/>
        <n v="76450"/>
        <n v="93969"/>
        <n v="45478"/>
        <n v="35831"/>
        <n v="77700"/>
        <n v="37789"/>
        <n v="52097"/>
        <n v="59797"/>
        <n v="33718"/>
        <n v="38751"/>
        <n v="47693"/>
        <n v="65082"/>
        <n v="71971"/>
        <n v="32892"/>
        <n v="59092"/>
        <n v="43173"/>
        <n v="32319"/>
        <n v="42994"/>
        <n v="71519"/>
        <n v="50835"/>
        <n v="72251"/>
        <n v="21217"/>
        <n v="51813"/>
        <n v="69639"/>
        <n v="34583"/>
        <n v="54322"/>
        <n v="44994"/>
        <n v="68431"/>
        <n v="74904"/>
        <n v="35319"/>
        <n v="43449"/>
        <n v="37077"/>
        <n v="56335"/>
        <n v="35894"/>
        <n v="30301"/>
        <n v="44591"/>
        <n v="73619"/>
        <n v="71140"/>
        <n v="42717"/>
        <n v="58199"/>
        <n v="27813"/>
        <n v="56430"/>
        <n v="22529"/>
        <n v="53890"/>
        <n v="48475"/>
        <n v="47777"/>
        <n v="64071"/>
        <n v="68539"/>
        <n v="84597"/>
        <n v="53385"/>
        <n v="59185"/>
        <n v="40584"/>
        <n v="91659"/>
        <n v="80431"/>
        <n v="76090"/>
        <n v="51622"/>
        <n v="63518"/>
        <n v="91478"/>
        <n v="53484"/>
        <n v="47615"/>
        <n v="75944"/>
        <n v="111027"/>
        <n v="23583"/>
        <n v="54641"/>
        <n v="54583"/>
        <n v="73333"/>
        <n v="20888"/>
        <n v="50887"/>
        <n v="60386"/>
        <n v="89815"/>
        <n v="55862"/>
        <n v="71697"/>
        <n v="47652"/>
        <n v="59383"/>
        <n v="60157"/>
        <n v="69317"/>
        <n v="75730"/>
        <n v="57258"/>
        <n v="78552"/>
        <n v="44587"/>
        <n v="74454"/>
        <n v="63523"/>
        <n v="67221"/>
        <n v="64014"/>
        <n v="75975"/>
        <n v="37364"/>
        <n v="42800"/>
        <n v="70559"/>
        <n v="22960"/>
        <n v="64015"/>
        <n v="71450"/>
        <n v="52504"/>
        <n v="36586"/>
        <n v="56694"/>
        <n v="67121"/>
        <n v="41141"/>
        <n v="48929"/>
        <n v="39931"/>
        <n v="62560"/>
        <n v="56683"/>
        <n v="84015"/>
        <n v="50258"/>
        <n v="71419"/>
        <n v="68298"/>
        <n v="55712"/>
        <n v="78751"/>
        <n v="18834"/>
        <n v="64931"/>
        <n v="40051"/>
        <n v="65953"/>
        <n v="93051"/>
        <n v="42651"/>
        <n v="75518"/>
        <n v="56826"/>
        <n v="57707"/>
        <n v="61599"/>
        <n v="66654"/>
        <n v="51870"/>
        <n v="23927"/>
        <n v="64723"/>
        <n v="48841"/>
        <n v="29884"/>
        <n v="42998"/>
        <n v="28756"/>
        <n v="42248"/>
        <n v="32634"/>
        <n v="54602"/>
        <n v="63766"/>
        <n v="537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8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1"/>
  </r>
  <r>
    <x v="2"/>
    <x v="2"/>
    <x v="2"/>
    <x v="2"/>
    <x v="2"/>
    <x v="2"/>
    <x v="1"/>
    <x v="2"/>
    <x v="0"/>
    <x v="0"/>
    <x v="2"/>
  </r>
  <r>
    <x v="3"/>
    <x v="3"/>
    <x v="3"/>
    <x v="3"/>
    <x v="3"/>
    <x v="3"/>
    <x v="0"/>
    <x v="3"/>
    <x v="0"/>
    <x v="0"/>
    <x v="3"/>
  </r>
  <r>
    <x v="4"/>
    <x v="4"/>
    <x v="4"/>
    <x v="0"/>
    <x v="0"/>
    <x v="4"/>
    <x v="1"/>
    <x v="4"/>
    <x v="0"/>
    <x v="0"/>
    <x v="4"/>
  </r>
  <r>
    <x v="5"/>
    <x v="5"/>
    <x v="5"/>
    <x v="4"/>
    <x v="4"/>
    <x v="1"/>
    <x v="1"/>
    <x v="5"/>
    <x v="0"/>
    <x v="0"/>
    <x v="5"/>
  </r>
  <r>
    <x v="6"/>
    <x v="6"/>
    <x v="4"/>
    <x v="4"/>
    <x v="5"/>
    <x v="4"/>
    <x v="0"/>
    <x v="6"/>
    <x v="1"/>
    <x v="1"/>
    <x v="6"/>
  </r>
  <r>
    <x v="7"/>
    <x v="3"/>
    <x v="6"/>
    <x v="2"/>
    <x v="6"/>
    <x v="5"/>
    <x v="0"/>
    <x v="7"/>
    <x v="2"/>
    <x v="1"/>
    <x v="7"/>
  </r>
  <r>
    <x v="8"/>
    <x v="7"/>
    <x v="7"/>
    <x v="2"/>
    <x v="2"/>
    <x v="6"/>
    <x v="1"/>
    <x v="8"/>
    <x v="0"/>
    <x v="0"/>
    <x v="8"/>
  </r>
  <r>
    <x v="9"/>
    <x v="8"/>
    <x v="8"/>
    <x v="5"/>
    <x v="7"/>
    <x v="4"/>
    <x v="0"/>
    <x v="9"/>
    <x v="0"/>
    <x v="0"/>
    <x v="9"/>
  </r>
  <r>
    <x v="10"/>
    <x v="9"/>
    <x v="9"/>
    <x v="4"/>
    <x v="8"/>
    <x v="3"/>
    <x v="0"/>
    <x v="10"/>
    <x v="0"/>
    <x v="0"/>
    <x v="10"/>
  </r>
  <r>
    <x v="11"/>
    <x v="10"/>
    <x v="10"/>
    <x v="0"/>
    <x v="9"/>
    <x v="7"/>
    <x v="0"/>
    <x v="11"/>
    <x v="0"/>
    <x v="0"/>
    <x v="11"/>
  </r>
  <r>
    <x v="12"/>
    <x v="11"/>
    <x v="6"/>
    <x v="3"/>
    <x v="10"/>
    <x v="8"/>
    <x v="1"/>
    <x v="12"/>
    <x v="0"/>
    <x v="0"/>
    <x v="12"/>
  </r>
  <r>
    <x v="13"/>
    <x v="12"/>
    <x v="11"/>
    <x v="1"/>
    <x v="1"/>
    <x v="9"/>
    <x v="0"/>
    <x v="13"/>
    <x v="3"/>
    <x v="1"/>
    <x v="13"/>
  </r>
  <r>
    <x v="14"/>
    <x v="13"/>
    <x v="4"/>
    <x v="1"/>
    <x v="11"/>
    <x v="10"/>
    <x v="1"/>
    <x v="14"/>
    <x v="0"/>
    <x v="0"/>
    <x v="14"/>
  </r>
  <r>
    <x v="15"/>
    <x v="14"/>
    <x v="4"/>
    <x v="1"/>
    <x v="1"/>
    <x v="11"/>
    <x v="0"/>
    <x v="15"/>
    <x v="0"/>
    <x v="0"/>
    <x v="15"/>
  </r>
  <r>
    <x v="16"/>
    <x v="15"/>
    <x v="12"/>
    <x v="1"/>
    <x v="12"/>
    <x v="12"/>
    <x v="0"/>
    <x v="16"/>
    <x v="0"/>
    <x v="0"/>
    <x v="16"/>
  </r>
  <r>
    <x v="17"/>
    <x v="16"/>
    <x v="3"/>
    <x v="3"/>
    <x v="3"/>
    <x v="13"/>
    <x v="0"/>
    <x v="17"/>
    <x v="0"/>
    <x v="0"/>
    <x v="17"/>
  </r>
  <r>
    <x v="18"/>
    <x v="17"/>
    <x v="13"/>
    <x v="4"/>
    <x v="8"/>
    <x v="14"/>
    <x v="0"/>
    <x v="18"/>
    <x v="0"/>
    <x v="0"/>
    <x v="18"/>
  </r>
  <r>
    <x v="19"/>
    <x v="18"/>
    <x v="4"/>
    <x v="4"/>
    <x v="5"/>
    <x v="15"/>
    <x v="1"/>
    <x v="19"/>
    <x v="0"/>
    <x v="0"/>
    <x v="19"/>
  </r>
  <r>
    <x v="20"/>
    <x v="19"/>
    <x v="1"/>
    <x v="4"/>
    <x v="4"/>
    <x v="16"/>
    <x v="0"/>
    <x v="20"/>
    <x v="0"/>
    <x v="0"/>
    <x v="20"/>
  </r>
  <r>
    <x v="21"/>
    <x v="20"/>
    <x v="14"/>
    <x v="1"/>
    <x v="1"/>
    <x v="3"/>
    <x v="0"/>
    <x v="21"/>
    <x v="0"/>
    <x v="0"/>
    <x v="21"/>
  </r>
  <r>
    <x v="22"/>
    <x v="19"/>
    <x v="9"/>
    <x v="1"/>
    <x v="12"/>
    <x v="10"/>
    <x v="1"/>
    <x v="22"/>
    <x v="0"/>
    <x v="0"/>
    <x v="22"/>
  </r>
  <r>
    <x v="23"/>
    <x v="9"/>
    <x v="10"/>
    <x v="4"/>
    <x v="8"/>
    <x v="7"/>
    <x v="0"/>
    <x v="23"/>
    <x v="0"/>
    <x v="0"/>
    <x v="23"/>
  </r>
  <r>
    <x v="24"/>
    <x v="21"/>
    <x v="2"/>
    <x v="2"/>
    <x v="13"/>
    <x v="10"/>
    <x v="0"/>
    <x v="24"/>
    <x v="0"/>
    <x v="0"/>
    <x v="24"/>
  </r>
  <r>
    <x v="25"/>
    <x v="22"/>
    <x v="12"/>
    <x v="1"/>
    <x v="12"/>
    <x v="17"/>
    <x v="1"/>
    <x v="25"/>
    <x v="0"/>
    <x v="0"/>
    <x v="25"/>
  </r>
  <r>
    <x v="26"/>
    <x v="23"/>
    <x v="15"/>
    <x v="4"/>
    <x v="5"/>
    <x v="13"/>
    <x v="0"/>
    <x v="26"/>
    <x v="0"/>
    <x v="0"/>
    <x v="26"/>
  </r>
  <r>
    <x v="27"/>
    <x v="0"/>
    <x v="9"/>
    <x v="2"/>
    <x v="6"/>
    <x v="11"/>
    <x v="1"/>
    <x v="27"/>
    <x v="0"/>
    <x v="0"/>
    <x v="27"/>
  </r>
  <r>
    <x v="28"/>
    <x v="24"/>
    <x v="16"/>
    <x v="1"/>
    <x v="12"/>
    <x v="10"/>
    <x v="1"/>
    <x v="28"/>
    <x v="0"/>
    <x v="0"/>
    <x v="28"/>
  </r>
  <r>
    <x v="29"/>
    <x v="11"/>
    <x v="4"/>
    <x v="4"/>
    <x v="8"/>
    <x v="8"/>
    <x v="0"/>
    <x v="29"/>
    <x v="4"/>
    <x v="1"/>
    <x v="29"/>
  </r>
  <r>
    <x v="30"/>
    <x v="25"/>
    <x v="12"/>
    <x v="3"/>
    <x v="3"/>
    <x v="7"/>
    <x v="1"/>
    <x v="30"/>
    <x v="5"/>
    <x v="1"/>
    <x v="30"/>
  </r>
  <r>
    <x v="31"/>
    <x v="26"/>
    <x v="17"/>
    <x v="5"/>
    <x v="7"/>
    <x v="0"/>
    <x v="0"/>
    <x v="31"/>
    <x v="0"/>
    <x v="0"/>
    <x v="31"/>
  </r>
  <r>
    <x v="32"/>
    <x v="8"/>
    <x v="15"/>
    <x v="4"/>
    <x v="8"/>
    <x v="16"/>
    <x v="1"/>
    <x v="32"/>
    <x v="6"/>
    <x v="1"/>
    <x v="32"/>
  </r>
  <r>
    <x v="33"/>
    <x v="27"/>
    <x v="1"/>
    <x v="2"/>
    <x v="6"/>
    <x v="18"/>
    <x v="0"/>
    <x v="33"/>
    <x v="0"/>
    <x v="0"/>
    <x v="33"/>
  </r>
  <r>
    <x v="34"/>
    <x v="0"/>
    <x v="6"/>
    <x v="1"/>
    <x v="14"/>
    <x v="18"/>
    <x v="1"/>
    <x v="34"/>
    <x v="0"/>
    <x v="0"/>
    <x v="34"/>
  </r>
  <r>
    <x v="35"/>
    <x v="17"/>
    <x v="9"/>
    <x v="4"/>
    <x v="4"/>
    <x v="16"/>
    <x v="0"/>
    <x v="35"/>
    <x v="0"/>
    <x v="0"/>
    <x v="35"/>
  </r>
  <r>
    <x v="36"/>
    <x v="28"/>
    <x v="14"/>
    <x v="5"/>
    <x v="15"/>
    <x v="19"/>
    <x v="0"/>
    <x v="36"/>
    <x v="0"/>
    <x v="0"/>
    <x v="36"/>
  </r>
  <r>
    <x v="37"/>
    <x v="3"/>
    <x v="18"/>
    <x v="2"/>
    <x v="13"/>
    <x v="11"/>
    <x v="1"/>
    <x v="37"/>
    <x v="0"/>
    <x v="0"/>
    <x v="37"/>
  </r>
  <r>
    <x v="38"/>
    <x v="27"/>
    <x v="2"/>
    <x v="4"/>
    <x v="4"/>
    <x v="20"/>
    <x v="1"/>
    <x v="38"/>
    <x v="0"/>
    <x v="0"/>
    <x v="38"/>
  </r>
  <r>
    <x v="39"/>
    <x v="18"/>
    <x v="19"/>
    <x v="4"/>
    <x v="4"/>
    <x v="14"/>
    <x v="1"/>
    <x v="39"/>
    <x v="0"/>
    <x v="0"/>
    <x v="39"/>
  </r>
  <r>
    <x v="40"/>
    <x v="6"/>
    <x v="3"/>
    <x v="0"/>
    <x v="9"/>
    <x v="2"/>
    <x v="0"/>
    <x v="40"/>
    <x v="0"/>
    <x v="0"/>
    <x v="40"/>
  </r>
  <r>
    <x v="41"/>
    <x v="7"/>
    <x v="20"/>
    <x v="2"/>
    <x v="2"/>
    <x v="7"/>
    <x v="0"/>
    <x v="41"/>
    <x v="0"/>
    <x v="0"/>
    <x v="41"/>
  </r>
  <r>
    <x v="42"/>
    <x v="22"/>
    <x v="21"/>
    <x v="5"/>
    <x v="15"/>
    <x v="19"/>
    <x v="1"/>
    <x v="42"/>
    <x v="0"/>
    <x v="0"/>
    <x v="42"/>
  </r>
  <r>
    <x v="43"/>
    <x v="3"/>
    <x v="17"/>
    <x v="3"/>
    <x v="10"/>
    <x v="13"/>
    <x v="0"/>
    <x v="43"/>
    <x v="0"/>
    <x v="0"/>
    <x v="43"/>
  </r>
  <r>
    <x v="44"/>
    <x v="15"/>
    <x v="9"/>
    <x v="0"/>
    <x v="0"/>
    <x v="20"/>
    <x v="0"/>
    <x v="44"/>
    <x v="0"/>
    <x v="0"/>
    <x v="44"/>
  </r>
  <r>
    <x v="45"/>
    <x v="9"/>
    <x v="17"/>
    <x v="2"/>
    <x v="2"/>
    <x v="21"/>
    <x v="0"/>
    <x v="45"/>
    <x v="0"/>
    <x v="0"/>
    <x v="45"/>
  </r>
  <r>
    <x v="46"/>
    <x v="29"/>
    <x v="14"/>
    <x v="1"/>
    <x v="1"/>
    <x v="22"/>
    <x v="0"/>
    <x v="46"/>
    <x v="0"/>
    <x v="0"/>
    <x v="46"/>
  </r>
  <r>
    <x v="47"/>
    <x v="20"/>
    <x v="4"/>
    <x v="3"/>
    <x v="10"/>
    <x v="23"/>
    <x v="0"/>
    <x v="47"/>
    <x v="0"/>
    <x v="0"/>
    <x v="47"/>
  </r>
  <r>
    <x v="48"/>
    <x v="29"/>
    <x v="8"/>
    <x v="3"/>
    <x v="3"/>
    <x v="14"/>
    <x v="1"/>
    <x v="48"/>
    <x v="0"/>
    <x v="0"/>
    <x v="48"/>
  </r>
  <r>
    <x v="49"/>
    <x v="20"/>
    <x v="3"/>
    <x v="2"/>
    <x v="13"/>
    <x v="8"/>
    <x v="1"/>
    <x v="49"/>
    <x v="0"/>
    <x v="0"/>
    <x v="49"/>
  </r>
  <r>
    <x v="50"/>
    <x v="25"/>
    <x v="11"/>
    <x v="1"/>
    <x v="14"/>
    <x v="17"/>
    <x v="1"/>
    <x v="50"/>
    <x v="0"/>
    <x v="0"/>
    <x v="50"/>
  </r>
  <r>
    <x v="51"/>
    <x v="26"/>
    <x v="3"/>
    <x v="1"/>
    <x v="1"/>
    <x v="22"/>
    <x v="1"/>
    <x v="51"/>
    <x v="0"/>
    <x v="0"/>
    <x v="51"/>
  </r>
  <r>
    <x v="52"/>
    <x v="10"/>
    <x v="9"/>
    <x v="4"/>
    <x v="5"/>
    <x v="21"/>
    <x v="0"/>
    <x v="52"/>
    <x v="0"/>
    <x v="0"/>
    <x v="52"/>
  </r>
  <r>
    <x v="53"/>
    <x v="24"/>
    <x v="8"/>
    <x v="4"/>
    <x v="4"/>
    <x v="16"/>
    <x v="0"/>
    <x v="53"/>
    <x v="7"/>
    <x v="1"/>
    <x v="53"/>
  </r>
  <r>
    <x v="54"/>
    <x v="11"/>
    <x v="22"/>
    <x v="2"/>
    <x v="6"/>
    <x v="11"/>
    <x v="1"/>
    <x v="54"/>
    <x v="0"/>
    <x v="0"/>
    <x v="54"/>
  </r>
  <r>
    <x v="55"/>
    <x v="0"/>
    <x v="12"/>
    <x v="1"/>
    <x v="14"/>
    <x v="7"/>
    <x v="1"/>
    <x v="55"/>
    <x v="0"/>
    <x v="0"/>
    <x v="55"/>
  </r>
  <r>
    <x v="56"/>
    <x v="22"/>
    <x v="19"/>
    <x v="3"/>
    <x v="10"/>
    <x v="8"/>
    <x v="1"/>
    <x v="56"/>
    <x v="8"/>
    <x v="1"/>
    <x v="56"/>
  </r>
  <r>
    <x v="57"/>
    <x v="23"/>
    <x v="23"/>
    <x v="5"/>
    <x v="7"/>
    <x v="14"/>
    <x v="1"/>
    <x v="57"/>
    <x v="0"/>
    <x v="0"/>
    <x v="57"/>
  </r>
  <r>
    <x v="58"/>
    <x v="30"/>
    <x v="23"/>
    <x v="2"/>
    <x v="13"/>
    <x v="2"/>
    <x v="1"/>
    <x v="58"/>
    <x v="0"/>
    <x v="0"/>
    <x v="58"/>
  </r>
  <r>
    <x v="59"/>
    <x v="22"/>
    <x v="17"/>
    <x v="5"/>
    <x v="7"/>
    <x v="7"/>
    <x v="0"/>
    <x v="59"/>
    <x v="0"/>
    <x v="0"/>
    <x v="59"/>
  </r>
  <r>
    <x v="60"/>
    <x v="21"/>
    <x v="7"/>
    <x v="1"/>
    <x v="1"/>
    <x v="3"/>
    <x v="0"/>
    <x v="60"/>
    <x v="0"/>
    <x v="0"/>
    <x v="60"/>
  </r>
  <r>
    <x v="61"/>
    <x v="31"/>
    <x v="23"/>
    <x v="3"/>
    <x v="3"/>
    <x v="3"/>
    <x v="1"/>
    <x v="61"/>
    <x v="0"/>
    <x v="0"/>
    <x v="61"/>
  </r>
  <r>
    <x v="62"/>
    <x v="32"/>
    <x v="13"/>
    <x v="4"/>
    <x v="4"/>
    <x v="23"/>
    <x v="0"/>
    <x v="62"/>
    <x v="0"/>
    <x v="0"/>
    <x v="62"/>
  </r>
  <r>
    <x v="63"/>
    <x v="2"/>
    <x v="11"/>
    <x v="2"/>
    <x v="2"/>
    <x v="0"/>
    <x v="0"/>
    <x v="63"/>
    <x v="9"/>
    <x v="1"/>
    <x v="63"/>
  </r>
  <r>
    <x v="64"/>
    <x v="17"/>
    <x v="12"/>
    <x v="0"/>
    <x v="9"/>
    <x v="16"/>
    <x v="0"/>
    <x v="64"/>
    <x v="0"/>
    <x v="0"/>
    <x v="64"/>
  </r>
  <r>
    <x v="65"/>
    <x v="24"/>
    <x v="0"/>
    <x v="2"/>
    <x v="13"/>
    <x v="13"/>
    <x v="1"/>
    <x v="65"/>
    <x v="0"/>
    <x v="0"/>
    <x v="65"/>
  </r>
  <r>
    <x v="66"/>
    <x v="30"/>
    <x v="5"/>
    <x v="2"/>
    <x v="6"/>
    <x v="5"/>
    <x v="0"/>
    <x v="66"/>
    <x v="0"/>
    <x v="0"/>
    <x v="66"/>
  </r>
  <r>
    <x v="67"/>
    <x v="33"/>
    <x v="14"/>
    <x v="2"/>
    <x v="2"/>
    <x v="15"/>
    <x v="0"/>
    <x v="67"/>
    <x v="0"/>
    <x v="0"/>
    <x v="67"/>
  </r>
  <r>
    <x v="68"/>
    <x v="22"/>
    <x v="21"/>
    <x v="2"/>
    <x v="2"/>
    <x v="18"/>
    <x v="0"/>
    <x v="68"/>
    <x v="0"/>
    <x v="0"/>
    <x v="68"/>
  </r>
  <r>
    <x v="69"/>
    <x v="14"/>
    <x v="10"/>
    <x v="3"/>
    <x v="3"/>
    <x v="1"/>
    <x v="1"/>
    <x v="69"/>
    <x v="10"/>
    <x v="1"/>
    <x v="69"/>
  </r>
  <r>
    <x v="70"/>
    <x v="18"/>
    <x v="20"/>
    <x v="1"/>
    <x v="1"/>
    <x v="0"/>
    <x v="0"/>
    <x v="70"/>
    <x v="0"/>
    <x v="0"/>
    <x v="70"/>
  </r>
  <r>
    <x v="71"/>
    <x v="19"/>
    <x v="24"/>
    <x v="1"/>
    <x v="12"/>
    <x v="24"/>
    <x v="0"/>
    <x v="71"/>
    <x v="0"/>
    <x v="0"/>
    <x v="71"/>
  </r>
  <r>
    <x v="72"/>
    <x v="34"/>
    <x v="9"/>
    <x v="4"/>
    <x v="8"/>
    <x v="6"/>
    <x v="0"/>
    <x v="72"/>
    <x v="0"/>
    <x v="0"/>
    <x v="72"/>
  </r>
  <r>
    <x v="73"/>
    <x v="8"/>
    <x v="14"/>
    <x v="4"/>
    <x v="4"/>
    <x v="19"/>
    <x v="0"/>
    <x v="73"/>
    <x v="11"/>
    <x v="1"/>
    <x v="73"/>
  </r>
  <r>
    <x v="74"/>
    <x v="25"/>
    <x v="4"/>
    <x v="1"/>
    <x v="11"/>
    <x v="18"/>
    <x v="0"/>
    <x v="74"/>
    <x v="12"/>
    <x v="1"/>
    <x v="74"/>
  </r>
  <r>
    <x v="75"/>
    <x v="7"/>
    <x v="6"/>
    <x v="4"/>
    <x v="5"/>
    <x v="0"/>
    <x v="0"/>
    <x v="75"/>
    <x v="0"/>
    <x v="0"/>
    <x v="75"/>
  </r>
  <r>
    <x v="76"/>
    <x v="35"/>
    <x v="0"/>
    <x v="4"/>
    <x v="5"/>
    <x v="0"/>
    <x v="1"/>
    <x v="76"/>
    <x v="0"/>
    <x v="0"/>
    <x v="76"/>
  </r>
  <r>
    <x v="77"/>
    <x v="2"/>
    <x v="13"/>
    <x v="5"/>
    <x v="16"/>
    <x v="7"/>
    <x v="0"/>
    <x v="77"/>
    <x v="0"/>
    <x v="0"/>
    <x v="77"/>
  </r>
  <r>
    <x v="78"/>
    <x v="21"/>
    <x v="21"/>
    <x v="4"/>
    <x v="8"/>
    <x v="19"/>
    <x v="0"/>
    <x v="78"/>
    <x v="0"/>
    <x v="0"/>
    <x v="78"/>
  </r>
  <r>
    <x v="79"/>
    <x v="13"/>
    <x v="1"/>
    <x v="3"/>
    <x v="10"/>
    <x v="12"/>
    <x v="0"/>
    <x v="79"/>
    <x v="0"/>
    <x v="0"/>
    <x v="79"/>
  </r>
  <r>
    <x v="80"/>
    <x v="34"/>
    <x v="23"/>
    <x v="2"/>
    <x v="2"/>
    <x v="21"/>
    <x v="1"/>
    <x v="80"/>
    <x v="0"/>
    <x v="0"/>
    <x v="80"/>
  </r>
  <r>
    <x v="81"/>
    <x v="24"/>
    <x v="18"/>
    <x v="0"/>
    <x v="0"/>
    <x v="21"/>
    <x v="0"/>
    <x v="81"/>
    <x v="0"/>
    <x v="0"/>
    <x v="81"/>
  </r>
  <r>
    <x v="82"/>
    <x v="28"/>
    <x v="9"/>
    <x v="1"/>
    <x v="14"/>
    <x v="19"/>
    <x v="1"/>
    <x v="82"/>
    <x v="0"/>
    <x v="0"/>
    <x v="82"/>
  </r>
  <r>
    <x v="83"/>
    <x v="30"/>
    <x v="1"/>
    <x v="1"/>
    <x v="12"/>
    <x v="20"/>
    <x v="0"/>
    <x v="83"/>
    <x v="13"/>
    <x v="1"/>
    <x v="1"/>
  </r>
  <r>
    <x v="84"/>
    <x v="33"/>
    <x v="24"/>
    <x v="1"/>
    <x v="12"/>
    <x v="5"/>
    <x v="0"/>
    <x v="84"/>
    <x v="14"/>
    <x v="1"/>
    <x v="83"/>
  </r>
  <r>
    <x v="85"/>
    <x v="0"/>
    <x v="16"/>
    <x v="2"/>
    <x v="13"/>
    <x v="3"/>
    <x v="0"/>
    <x v="85"/>
    <x v="0"/>
    <x v="0"/>
    <x v="84"/>
  </r>
  <r>
    <x v="86"/>
    <x v="10"/>
    <x v="5"/>
    <x v="2"/>
    <x v="6"/>
    <x v="23"/>
    <x v="1"/>
    <x v="86"/>
    <x v="0"/>
    <x v="0"/>
    <x v="85"/>
  </r>
  <r>
    <x v="87"/>
    <x v="36"/>
    <x v="21"/>
    <x v="2"/>
    <x v="6"/>
    <x v="7"/>
    <x v="0"/>
    <x v="87"/>
    <x v="0"/>
    <x v="0"/>
    <x v="86"/>
  </r>
  <r>
    <x v="88"/>
    <x v="33"/>
    <x v="4"/>
    <x v="3"/>
    <x v="3"/>
    <x v="25"/>
    <x v="1"/>
    <x v="88"/>
    <x v="0"/>
    <x v="0"/>
    <x v="87"/>
  </r>
  <r>
    <x v="89"/>
    <x v="24"/>
    <x v="23"/>
    <x v="1"/>
    <x v="11"/>
    <x v="25"/>
    <x v="0"/>
    <x v="89"/>
    <x v="15"/>
    <x v="1"/>
    <x v="88"/>
  </r>
  <r>
    <x v="90"/>
    <x v="16"/>
    <x v="0"/>
    <x v="2"/>
    <x v="6"/>
    <x v="11"/>
    <x v="0"/>
    <x v="90"/>
    <x v="0"/>
    <x v="0"/>
    <x v="89"/>
  </r>
  <r>
    <x v="91"/>
    <x v="37"/>
    <x v="14"/>
    <x v="5"/>
    <x v="7"/>
    <x v="23"/>
    <x v="1"/>
    <x v="91"/>
    <x v="0"/>
    <x v="0"/>
    <x v="90"/>
  </r>
  <r>
    <x v="92"/>
    <x v="21"/>
    <x v="10"/>
    <x v="1"/>
    <x v="12"/>
    <x v="19"/>
    <x v="0"/>
    <x v="92"/>
    <x v="0"/>
    <x v="0"/>
    <x v="91"/>
  </r>
  <r>
    <x v="93"/>
    <x v="22"/>
    <x v="3"/>
    <x v="5"/>
    <x v="16"/>
    <x v="7"/>
    <x v="1"/>
    <x v="93"/>
    <x v="16"/>
    <x v="1"/>
    <x v="92"/>
  </r>
  <r>
    <x v="94"/>
    <x v="18"/>
    <x v="13"/>
    <x v="5"/>
    <x v="16"/>
    <x v="26"/>
    <x v="1"/>
    <x v="94"/>
    <x v="17"/>
    <x v="1"/>
    <x v="93"/>
  </r>
  <r>
    <x v="95"/>
    <x v="1"/>
    <x v="1"/>
    <x v="1"/>
    <x v="12"/>
    <x v="15"/>
    <x v="1"/>
    <x v="95"/>
    <x v="0"/>
    <x v="0"/>
    <x v="94"/>
  </r>
  <r>
    <x v="96"/>
    <x v="21"/>
    <x v="21"/>
    <x v="2"/>
    <x v="13"/>
    <x v="19"/>
    <x v="0"/>
    <x v="63"/>
    <x v="0"/>
    <x v="0"/>
    <x v="95"/>
  </r>
  <r>
    <x v="97"/>
    <x v="10"/>
    <x v="12"/>
    <x v="4"/>
    <x v="4"/>
    <x v="18"/>
    <x v="1"/>
    <x v="96"/>
    <x v="0"/>
    <x v="0"/>
    <x v="96"/>
  </r>
  <r>
    <x v="98"/>
    <x v="35"/>
    <x v="20"/>
    <x v="1"/>
    <x v="14"/>
    <x v="6"/>
    <x v="0"/>
    <x v="97"/>
    <x v="18"/>
    <x v="1"/>
    <x v="97"/>
  </r>
  <r>
    <x v="99"/>
    <x v="4"/>
    <x v="1"/>
    <x v="1"/>
    <x v="11"/>
    <x v="12"/>
    <x v="0"/>
    <x v="98"/>
    <x v="0"/>
    <x v="0"/>
    <x v="98"/>
  </r>
  <r>
    <x v="100"/>
    <x v="8"/>
    <x v="0"/>
    <x v="2"/>
    <x v="13"/>
    <x v="3"/>
    <x v="0"/>
    <x v="99"/>
    <x v="0"/>
    <x v="0"/>
    <x v="99"/>
  </r>
  <r>
    <x v="101"/>
    <x v="15"/>
    <x v="16"/>
    <x v="1"/>
    <x v="1"/>
    <x v="8"/>
    <x v="0"/>
    <x v="100"/>
    <x v="0"/>
    <x v="0"/>
    <x v="100"/>
  </r>
  <r>
    <x v="102"/>
    <x v="18"/>
    <x v="12"/>
    <x v="4"/>
    <x v="4"/>
    <x v="15"/>
    <x v="0"/>
    <x v="101"/>
    <x v="0"/>
    <x v="0"/>
    <x v="101"/>
  </r>
  <r>
    <x v="103"/>
    <x v="11"/>
    <x v="23"/>
    <x v="5"/>
    <x v="7"/>
    <x v="17"/>
    <x v="1"/>
    <x v="102"/>
    <x v="0"/>
    <x v="0"/>
    <x v="102"/>
  </r>
  <r>
    <x v="104"/>
    <x v="7"/>
    <x v="8"/>
    <x v="1"/>
    <x v="11"/>
    <x v="9"/>
    <x v="0"/>
    <x v="103"/>
    <x v="0"/>
    <x v="0"/>
    <x v="103"/>
  </r>
  <r>
    <x v="105"/>
    <x v="32"/>
    <x v="24"/>
    <x v="4"/>
    <x v="5"/>
    <x v="2"/>
    <x v="0"/>
    <x v="104"/>
    <x v="0"/>
    <x v="0"/>
    <x v="104"/>
  </r>
  <r>
    <x v="106"/>
    <x v="20"/>
    <x v="2"/>
    <x v="1"/>
    <x v="11"/>
    <x v="5"/>
    <x v="0"/>
    <x v="105"/>
    <x v="0"/>
    <x v="0"/>
    <x v="105"/>
  </r>
  <r>
    <x v="107"/>
    <x v="31"/>
    <x v="16"/>
    <x v="4"/>
    <x v="4"/>
    <x v="10"/>
    <x v="0"/>
    <x v="106"/>
    <x v="0"/>
    <x v="0"/>
    <x v="106"/>
  </r>
  <r>
    <x v="108"/>
    <x v="7"/>
    <x v="15"/>
    <x v="1"/>
    <x v="11"/>
    <x v="21"/>
    <x v="0"/>
    <x v="107"/>
    <x v="0"/>
    <x v="0"/>
    <x v="107"/>
  </r>
  <r>
    <x v="109"/>
    <x v="34"/>
    <x v="4"/>
    <x v="5"/>
    <x v="15"/>
    <x v="9"/>
    <x v="1"/>
    <x v="108"/>
    <x v="0"/>
    <x v="0"/>
    <x v="108"/>
  </r>
  <r>
    <x v="110"/>
    <x v="17"/>
    <x v="2"/>
    <x v="3"/>
    <x v="10"/>
    <x v="4"/>
    <x v="0"/>
    <x v="109"/>
    <x v="0"/>
    <x v="0"/>
    <x v="109"/>
  </r>
  <r>
    <x v="111"/>
    <x v="0"/>
    <x v="18"/>
    <x v="2"/>
    <x v="13"/>
    <x v="4"/>
    <x v="0"/>
    <x v="110"/>
    <x v="0"/>
    <x v="0"/>
    <x v="110"/>
  </r>
  <r>
    <x v="112"/>
    <x v="5"/>
    <x v="14"/>
    <x v="4"/>
    <x v="5"/>
    <x v="9"/>
    <x v="0"/>
    <x v="111"/>
    <x v="0"/>
    <x v="0"/>
    <x v="111"/>
  </r>
  <r>
    <x v="113"/>
    <x v="35"/>
    <x v="4"/>
    <x v="1"/>
    <x v="1"/>
    <x v="3"/>
    <x v="0"/>
    <x v="112"/>
    <x v="0"/>
    <x v="0"/>
    <x v="112"/>
  </r>
  <r>
    <x v="114"/>
    <x v="23"/>
    <x v="17"/>
    <x v="1"/>
    <x v="14"/>
    <x v="21"/>
    <x v="0"/>
    <x v="113"/>
    <x v="0"/>
    <x v="0"/>
    <x v="113"/>
  </r>
  <r>
    <x v="115"/>
    <x v="32"/>
    <x v="24"/>
    <x v="4"/>
    <x v="8"/>
    <x v="24"/>
    <x v="1"/>
    <x v="114"/>
    <x v="19"/>
    <x v="1"/>
    <x v="114"/>
  </r>
  <r>
    <x v="116"/>
    <x v="19"/>
    <x v="0"/>
    <x v="4"/>
    <x v="8"/>
    <x v="6"/>
    <x v="0"/>
    <x v="115"/>
    <x v="0"/>
    <x v="0"/>
    <x v="115"/>
  </r>
  <r>
    <x v="117"/>
    <x v="21"/>
    <x v="8"/>
    <x v="4"/>
    <x v="5"/>
    <x v="27"/>
    <x v="0"/>
    <x v="116"/>
    <x v="0"/>
    <x v="0"/>
    <x v="116"/>
  </r>
  <r>
    <x v="118"/>
    <x v="28"/>
    <x v="22"/>
    <x v="4"/>
    <x v="8"/>
    <x v="28"/>
    <x v="0"/>
    <x v="117"/>
    <x v="0"/>
    <x v="0"/>
    <x v="117"/>
  </r>
  <r>
    <x v="119"/>
    <x v="32"/>
    <x v="3"/>
    <x v="5"/>
    <x v="7"/>
    <x v="29"/>
    <x v="1"/>
    <x v="118"/>
    <x v="0"/>
    <x v="0"/>
    <x v="118"/>
  </r>
  <r>
    <x v="120"/>
    <x v="5"/>
    <x v="8"/>
    <x v="4"/>
    <x v="5"/>
    <x v="2"/>
    <x v="0"/>
    <x v="119"/>
    <x v="0"/>
    <x v="0"/>
    <x v="119"/>
  </r>
  <r>
    <x v="121"/>
    <x v="14"/>
    <x v="23"/>
    <x v="1"/>
    <x v="1"/>
    <x v="7"/>
    <x v="0"/>
    <x v="120"/>
    <x v="20"/>
    <x v="1"/>
    <x v="120"/>
  </r>
  <r>
    <x v="122"/>
    <x v="26"/>
    <x v="4"/>
    <x v="2"/>
    <x v="6"/>
    <x v="8"/>
    <x v="1"/>
    <x v="121"/>
    <x v="21"/>
    <x v="1"/>
    <x v="121"/>
  </r>
  <r>
    <x v="123"/>
    <x v="8"/>
    <x v="13"/>
    <x v="1"/>
    <x v="1"/>
    <x v="10"/>
    <x v="0"/>
    <x v="122"/>
    <x v="0"/>
    <x v="0"/>
    <x v="122"/>
  </r>
  <r>
    <x v="124"/>
    <x v="12"/>
    <x v="14"/>
    <x v="1"/>
    <x v="1"/>
    <x v="18"/>
    <x v="0"/>
    <x v="123"/>
    <x v="0"/>
    <x v="0"/>
    <x v="123"/>
  </r>
  <r>
    <x v="125"/>
    <x v="28"/>
    <x v="6"/>
    <x v="5"/>
    <x v="7"/>
    <x v="10"/>
    <x v="1"/>
    <x v="124"/>
    <x v="0"/>
    <x v="0"/>
    <x v="124"/>
  </r>
  <r>
    <x v="126"/>
    <x v="17"/>
    <x v="9"/>
    <x v="3"/>
    <x v="10"/>
    <x v="6"/>
    <x v="0"/>
    <x v="125"/>
    <x v="0"/>
    <x v="0"/>
    <x v="125"/>
  </r>
  <r>
    <x v="127"/>
    <x v="16"/>
    <x v="14"/>
    <x v="5"/>
    <x v="7"/>
    <x v="12"/>
    <x v="0"/>
    <x v="126"/>
    <x v="0"/>
    <x v="0"/>
    <x v="126"/>
  </r>
  <r>
    <x v="128"/>
    <x v="0"/>
    <x v="22"/>
    <x v="4"/>
    <x v="5"/>
    <x v="8"/>
    <x v="0"/>
    <x v="127"/>
    <x v="0"/>
    <x v="0"/>
    <x v="127"/>
  </r>
  <r>
    <x v="129"/>
    <x v="8"/>
    <x v="12"/>
    <x v="1"/>
    <x v="11"/>
    <x v="2"/>
    <x v="0"/>
    <x v="128"/>
    <x v="0"/>
    <x v="0"/>
    <x v="128"/>
  </r>
  <r>
    <x v="130"/>
    <x v="10"/>
    <x v="2"/>
    <x v="5"/>
    <x v="16"/>
    <x v="29"/>
    <x v="0"/>
    <x v="129"/>
    <x v="0"/>
    <x v="0"/>
    <x v="129"/>
  </r>
  <r>
    <x v="131"/>
    <x v="14"/>
    <x v="21"/>
    <x v="2"/>
    <x v="2"/>
    <x v="6"/>
    <x v="0"/>
    <x v="130"/>
    <x v="0"/>
    <x v="0"/>
    <x v="130"/>
  </r>
  <r>
    <x v="132"/>
    <x v="16"/>
    <x v="16"/>
    <x v="2"/>
    <x v="2"/>
    <x v="29"/>
    <x v="0"/>
    <x v="131"/>
    <x v="0"/>
    <x v="0"/>
    <x v="131"/>
  </r>
  <r>
    <x v="133"/>
    <x v="3"/>
    <x v="18"/>
    <x v="4"/>
    <x v="4"/>
    <x v="17"/>
    <x v="1"/>
    <x v="132"/>
    <x v="0"/>
    <x v="0"/>
    <x v="132"/>
  </r>
  <r>
    <x v="134"/>
    <x v="6"/>
    <x v="6"/>
    <x v="5"/>
    <x v="16"/>
    <x v="10"/>
    <x v="1"/>
    <x v="133"/>
    <x v="22"/>
    <x v="1"/>
    <x v="133"/>
  </r>
  <r>
    <x v="135"/>
    <x v="26"/>
    <x v="8"/>
    <x v="1"/>
    <x v="11"/>
    <x v="19"/>
    <x v="0"/>
    <x v="134"/>
    <x v="0"/>
    <x v="0"/>
    <x v="134"/>
  </r>
  <r>
    <x v="136"/>
    <x v="7"/>
    <x v="13"/>
    <x v="5"/>
    <x v="15"/>
    <x v="16"/>
    <x v="0"/>
    <x v="135"/>
    <x v="0"/>
    <x v="0"/>
    <x v="135"/>
  </r>
  <r>
    <x v="137"/>
    <x v="35"/>
    <x v="16"/>
    <x v="2"/>
    <x v="13"/>
    <x v="22"/>
    <x v="1"/>
    <x v="136"/>
    <x v="0"/>
    <x v="0"/>
    <x v="136"/>
  </r>
  <r>
    <x v="138"/>
    <x v="24"/>
    <x v="17"/>
    <x v="1"/>
    <x v="12"/>
    <x v="3"/>
    <x v="1"/>
    <x v="137"/>
    <x v="0"/>
    <x v="0"/>
    <x v="137"/>
  </r>
  <r>
    <x v="139"/>
    <x v="38"/>
    <x v="6"/>
    <x v="1"/>
    <x v="1"/>
    <x v="0"/>
    <x v="0"/>
    <x v="138"/>
    <x v="0"/>
    <x v="0"/>
    <x v="138"/>
  </r>
  <r>
    <x v="140"/>
    <x v="4"/>
    <x v="23"/>
    <x v="3"/>
    <x v="3"/>
    <x v="0"/>
    <x v="0"/>
    <x v="139"/>
    <x v="0"/>
    <x v="0"/>
    <x v="105"/>
  </r>
  <r>
    <x v="141"/>
    <x v="0"/>
    <x v="6"/>
    <x v="1"/>
    <x v="1"/>
    <x v="5"/>
    <x v="0"/>
    <x v="140"/>
    <x v="0"/>
    <x v="0"/>
    <x v="139"/>
  </r>
  <r>
    <x v="142"/>
    <x v="32"/>
    <x v="9"/>
    <x v="5"/>
    <x v="16"/>
    <x v="21"/>
    <x v="0"/>
    <x v="141"/>
    <x v="0"/>
    <x v="0"/>
    <x v="140"/>
  </r>
  <r>
    <x v="143"/>
    <x v="23"/>
    <x v="2"/>
    <x v="5"/>
    <x v="15"/>
    <x v="23"/>
    <x v="0"/>
    <x v="142"/>
    <x v="0"/>
    <x v="0"/>
    <x v="141"/>
  </r>
  <r>
    <x v="144"/>
    <x v="9"/>
    <x v="18"/>
    <x v="1"/>
    <x v="12"/>
    <x v="8"/>
    <x v="0"/>
    <x v="143"/>
    <x v="0"/>
    <x v="0"/>
    <x v="142"/>
  </r>
  <r>
    <x v="145"/>
    <x v="15"/>
    <x v="5"/>
    <x v="0"/>
    <x v="0"/>
    <x v="9"/>
    <x v="1"/>
    <x v="144"/>
    <x v="0"/>
    <x v="0"/>
    <x v="143"/>
  </r>
  <r>
    <x v="146"/>
    <x v="8"/>
    <x v="19"/>
    <x v="1"/>
    <x v="11"/>
    <x v="7"/>
    <x v="0"/>
    <x v="145"/>
    <x v="23"/>
    <x v="1"/>
    <x v="144"/>
  </r>
  <r>
    <x v="147"/>
    <x v="14"/>
    <x v="21"/>
    <x v="3"/>
    <x v="3"/>
    <x v="17"/>
    <x v="1"/>
    <x v="146"/>
    <x v="0"/>
    <x v="0"/>
    <x v="145"/>
  </r>
  <r>
    <x v="148"/>
    <x v="19"/>
    <x v="21"/>
    <x v="1"/>
    <x v="1"/>
    <x v="17"/>
    <x v="1"/>
    <x v="147"/>
    <x v="0"/>
    <x v="0"/>
    <x v="146"/>
  </r>
  <r>
    <x v="149"/>
    <x v="7"/>
    <x v="16"/>
    <x v="2"/>
    <x v="6"/>
    <x v="19"/>
    <x v="0"/>
    <x v="31"/>
    <x v="0"/>
    <x v="0"/>
    <x v="147"/>
  </r>
  <r>
    <x v="150"/>
    <x v="30"/>
    <x v="4"/>
    <x v="4"/>
    <x v="8"/>
    <x v="19"/>
    <x v="0"/>
    <x v="148"/>
    <x v="0"/>
    <x v="0"/>
    <x v="148"/>
  </r>
  <r>
    <x v="151"/>
    <x v="16"/>
    <x v="0"/>
    <x v="1"/>
    <x v="12"/>
    <x v="30"/>
    <x v="0"/>
    <x v="149"/>
    <x v="0"/>
    <x v="0"/>
    <x v="149"/>
  </r>
  <r>
    <x v="152"/>
    <x v="19"/>
    <x v="24"/>
    <x v="2"/>
    <x v="13"/>
    <x v="8"/>
    <x v="0"/>
    <x v="150"/>
    <x v="0"/>
    <x v="0"/>
    <x v="150"/>
  </r>
  <r>
    <x v="153"/>
    <x v="17"/>
    <x v="2"/>
    <x v="5"/>
    <x v="7"/>
    <x v="4"/>
    <x v="1"/>
    <x v="151"/>
    <x v="0"/>
    <x v="0"/>
    <x v="151"/>
  </r>
  <r>
    <x v="154"/>
    <x v="37"/>
    <x v="12"/>
    <x v="2"/>
    <x v="2"/>
    <x v="3"/>
    <x v="0"/>
    <x v="152"/>
    <x v="0"/>
    <x v="0"/>
    <x v="1"/>
  </r>
  <r>
    <x v="155"/>
    <x v="34"/>
    <x v="15"/>
    <x v="5"/>
    <x v="7"/>
    <x v="3"/>
    <x v="0"/>
    <x v="153"/>
    <x v="0"/>
    <x v="0"/>
    <x v="152"/>
  </r>
  <r>
    <x v="156"/>
    <x v="29"/>
    <x v="15"/>
    <x v="3"/>
    <x v="10"/>
    <x v="24"/>
    <x v="0"/>
    <x v="154"/>
    <x v="0"/>
    <x v="0"/>
    <x v="153"/>
  </r>
  <r>
    <x v="157"/>
    <x v="35"/>
    <x v="9"/>
    <x v="3"/>
    <x v="10"/>
    <x v="21"/>
    <x v="0"/>
    <x v="155"/>
    <x v="0"/>
    <x v="0"/>
    <x v="154"/>
  </r>
  <r>
    <x v="158"/>
    <x v="38"/>
    <x v="0"/>
    <x v="4"/>
    <x v="8"/>
    <x v="14"/>
    <x v="0"/>
    <x v="156"/>
    <x v="0"/>
    <x v="0"/>
    <x v="155"/>
  </r>
  <r>
    <x v="159"/>
    <x v="17"/>
    <x v="3"/>
    <x v="1"/>
    <x v="12"/>
    <x v="10"/>
    <x v="0"/>
    <x v="157"/>
    <x v="0"/>
    <x v="0"/>
    <x v="156"/>
  </r>
  <r>
    <x v="160"/>
    <x v="3"/>
    <x v="24"/>
    <x v="1"/>
    <x v="1"/>
    <x v="7"/>
    <x v="0"/>
    <x v="158"/>
    <x v="0"/>
    <x v="0"/>
    <x v="157"/>
  </r>
  <r>
    <x v="161"/>
    <x v="28"/>
    <x v="7"/>
    <x v="3"/>
    <x v="10"/>
    <x v="3"/>
    <x v="0"/>
    <x v="159"/>
    <x v="0"/>
    <x v="0"/>
    <x v="158"/>
  </r>
  <r>
    <x v="162"/>
    <x v="25"/>
    <x v="13"/>
    <x v="3"/>
    <x v="10"/>
    <x v="24"/>
    <x v="1"/>
    <x v="160"/>
    <x v="0"/>
    <x v="0"/>
    <x v="159"/>
  </r>
  <r>
    <x v="163"/>
    <x v="16"/>
    <x v="5"/>
    <x v="5"/>
    <x v="7"/>
    <x v="7"/>
    <x v="1"/>
    <x v="161"/>
    <x v="24"/>
    <x v="1"/>
    <x v="160"/>
  </r>
  <r>
    <x v="164"/>
    <x v="11"/>
    <x v="14"/>
    <x v="0"/>
    <x v="9"/>
    <x v="7"/>
    <x v="0"/>
    <x v="162"/>
    <x v="0"/>
    <x v="0"/>
    <x v="161"/>
  </r>
  <r>
    <x v="165"/>
    <x v="29"/>
    <x v="21"/>
    <x v="1"/>
    <x v="11"/>
    <x v="25"/>
    <x v="0"/>
    <x v="163"/>
    <x v="0"/>
    <x v="0"/>
    <x v="162"/>
  </r>
  <r>
    <x v="166"/>
    <x v="10"/>
    <x v="0"/>
    <x v="1"/>
    <x v="1"/>
    <x v="9"/>
    <x v="1"/>
    <x v="164"/>
    <x v="0"/>
    <x v="0"/>
    <x v="163"/>
  </r>
  <r>
    <x v="167"/>
    <x v="35"/>
    <x v="20"/>
    <x v="5"/>
    <x v="15"/>
    <x v="21"/>
    <x v="1"/>
    <x v="165"/>
    <x v="0"/>
    <x v="0"/>
    <x v="164"/>
  </r>
  <r>
    <x v="168"/>
    <x v="28"/>
    <x v="3"/>
    <x v="5"/>
    <x v="7"/>
    <x v="2"/>
    <x v="1"/>
    <x v="166"/>
    <x v="25"/>
    <x v="1"/>
    <x v="165"/>
  </r>
  <r>
    <x v="169"/>
    <x v="27"/>
    <x v="0"/>
    <x v="4"/>
    <x v="5"/>
    <x v="3"/>
    <x v="1"/>
    <x v="167"/>
    <x v="0"/>
    <x v="0"/>
    <x v="166"/>
  </r>
  <r>
    <x v="170"/>
    <x v="7"/>
    <x v="12"/>
    <x v="1"/>
    <x v="1"/>
    <x v="10"/>
    <x v="1"/>
    <x v="168"/>
    <x v="0"/>
    <x v="0"/>
    <x v="167"/>
  </r>
  <r>
    <x v="171"/>
    <x v="15"/>
    <x v="5"/>
    <x v="5"/>
    <x v="7"/>
    <x v="21"/>
    <x v="0"/>
    <x v="169"/>
    <x v="0"/>
    <x v="0"/>
    <x v="168"/>
  </r>
  <r>
    <x v="172"/>
    <x v="39"/>
    <x v="14"/>
    <x v="2"/>
    <x v="2"/>
    <x v="17"/>
    <x v="0"/>
    <x v="170"/>
    <x v="0"/>
    <x v="0"/>
    <x v="169"/>
  </r>
  <r>
    <x v="173"/>
    <x v="17"/>
    <x v="8"/>
    <x v="1"/>
    <x v="14"/>
    <x v="7"/>
    <x v="0"/>
    <x v="171"/>
    <x v="0"/>
    <x v="0"/>
    <x v="170"/>
  </r>
  <r>
    <x v="174"/>
    <x v="8"/>
    <x v="10"/>
    <x v="1"/>
    <x v="14"/>
    <x v="20"/>
    <x v="0"/>
    <x v="172"/>
    <x v="0"/>
    <x v="0"/>
    <x v="171"/>
  </r>
  <r>
    <x v="175"/>
    <x v="6"/>
    <x v="9"/>
    <x v="3"/>
    <x v="3"/>
    <x v="20"/>
    <x v="0"/>
    <x v="173"/>
    <x v="0"/>
    <x v="0"/>
    <x v="172"/>
  </r>
  <r>
    <x v="176"/>
    <x v="37"/>
    <x v="6"/>
    <x v="4"/>
    <x v="5"/>
    <x v="2"/>
    <x v="1"/>
    <x v="174"/>
    <x v="0"/>
    <x v="0"/>
    <x v="173"/>
  </r>
  <r>
    <x v="177"/>
    <x v="37"/>
    <x v="14"/>
    <x v="1"/>
    <x v="1"/>
    <x v="15"/>
    <x v="1"/>
    <x v="175"/>
    <x v="0"/>
    <x v="0"/>
    <x v="174"/>
  </r>
  <r>
    <x v="178"/>
    <x v="39"/>
    <x v="24"/>
    <x v="2"/>
    <x v="2"/>
    <x v="21"/>
    <x v="1"/>
    <x v="176"/>
    <x v="0"/>
    <x v="0"/>
    <x v="175"/>
  </r>
  <r>
    <x v="179"/>
    <x v="31"/>
    <x v="12"/>
    <x v="2"/>
    <x v="2"/>
    <x v="6"/>
    <x v="1"/>
    <x v="177"/>
    <x v="0"/>
    <x v="0"/>
    <x v="176"/>
  </r>
  <r>
    <x v="180"/>
    <x v="19"/>
    <x v="20"/>
    <x v="4"/>
    <x v="8"/>
    <x v="6"/>
    <x v="1"/>
    <x v="9"/>
    <x v="0"/>
    <x v="0"/>
    <x v="177"/>
  </r>
  <r>
    <x v="181"/>
    <x v="39"/>
    <x v="2"/>
    <x v="5"/>
    <x v="16"/>
    <x v="28"/>
    <x v="1"/>
    <x v="178"/>
    <x v="0"/>
    <x v="0"/>
    <x v="178"/>
  </r>
  <r>
    <x v="182"/>
    <x v="6"/>
    <x v="19"/>
    <x v="2"/>
    <x v="6"/>
    <x v="5"/>
    <x v="1"/>
    <x v="179"/>
    <x v="26"/>
    <x v="1"/>
    <x v="179"/>
  </r>
  <r>
    <x v="183"/>
    <x v="11"/>
    <x v="2"/>
    <x v="3"/>
    <x v="3"/>
    <x v="17"/>
    <x v="1"/>
    <x v="180"/>
    <x v="0"/>
    <x v="0"/>
    <x v="180"/>
  </r>
  <r>
    <x v="184"/>
    <x v="7"/>
    <x v="10"/>
    <x v="4"/>
    <x v="8"/>
    <x v="3"/>
    <x v="1"/>
    <x v="52"/>
    <x v="27"/>
    <x v="1"/>
    <x v="181"/>
  </r>
  <r>
    <x v="185"/>
    <x v="33"/>
    <x v="19"/>
    <x v="3"/>
    <x v="3"/>
    <x v="19"/>
    <x v="0"/>
    <x v="181"/>
    <x v="0"/>
    <x v="0"/>
    <x v="182"/>
  </r>
  <r>
    <x v="186"/>
    <x v="4"/>
    <x v="22"/>
    <x v="4"/>
    <x v="8"/>
    <x v="2"/>
    <x v="1"/>
    <x v="33"/>
    <x v="0"/>
    <x v="0"/>
    <x v="183"/>
  </r>
  <r>
    <x v="187"/>
    <x v="17"/>
    <x v="22"/>
    <x v="1"/>
    <x v="14"/>
    <x v="21"/>
    <x v="0"/>
    <x v="182"/>
    <x v="0"/>
    <x v="0"/>
    <x v="184"/>
  </r>
  <r>
    <x v="188"/>
    <x v="25"/>
    <x v="12"/>
    <x v="3"/>
    <x v="10"/>
    <x v="7"/>
    <x v="0"/>
    <x v="156"/>
    <x v="0"/>
    <x v="0"/>
    <x v="185"/>
  </r>
  <r>
    <x v="189"/>
    <x v="23"/>
    <x v="18"/>
    <x v="4"/>
    <x v="5"/>
    <x v="0"/>
    <x v="1"/>
    <x v="183"/>
    <x v="0"/>
    <x v="0"/>
    <x v="186"/>
  </r>
  <r>
    <x v="190"/>
    <x v="14"/>
    <x v="23"/>
    <x v="5"/>
    <x v="7"/>
    <x v="23"/>
    <x v="1"/>
    <x v="184"/>
    <x v="0"/>
    <x v="0"/>
    <x v="187"/>
  </r>
  <r>
    <x v="191"/>
    <x v="6"/>
    <x v="9"/>
    <x v="0"/>
    <x v="9"/>
    <x v="7"/>
    <x v="0"/>
    <x v="185"/>
    <x v="0"/>
    <x v="0"/>
    <x v="188"/>
  </r>
  <r>
    <x v="192"/>
    <x v="26"/>
    <x v="22"/>
    <x v="1"/>
    <x v="1"/>
    <x v="0"/>
    <x v="1"/>
    <x v="186"/>
    <x v="0"/>
    <x v="0"/>
    <x v="1"/>
  </r>
  <r>
    <x v="193"/>
    <x v="37"/>
    <x v="0"/>
    <x v="4"/>
    <x v="4"/>
    <x v="8"/>
    <x v="0"/>
    <x v="187"/>
    <x v="0"/>
    <x v="0"/>
    <x v="189"/>
  </r>
  <r>
    <x v="194"/>
    <x v="6"/>
    <x v="22"/>
    <x v="1"/>
    <x v="12"/>
    <x v="1"/>
    <x v="1"/>
    <x v="188"/>
    <x v="0"/>
    <x v="0"/>
    <x v="190"/>
  </r>
  <r>
    <x v="195"/>
    <x v="19"/>
    <x v="4"/>
    <x v="1"/>
    <x v="12"/>
    <x v="19"/>
    <x v="1"/>
    <x v="189"/>
    <x v="28"/>
    <x v="1"/>
    <x v="191"/>
  </r>
  <r>
    <x v="196"/>
    <x v="34"/>
    <x v="7"/>
    <x v="4"/>
    <x v="8"/>
    <x v="4"/>
    <x v="0"/>
    <x v="190"/>
    <x v="0"/>
    <x v="0"/>
    <x v="192"/>
  </r>
  <r>
    <x v="197"/>
    <x v="37"/>
    <x v="17"/>
    <x v="1"/>
    <x v="12"/>
    <x v="4"/>
    <x v="0"/>
    <x v="191"/>
    <x v="0"/>
    <x v="0"/>
    <x v="193"/>
  </r>
  <r>
    <x v="198"/>
    <x v="21"/>
    <x v="19"/>
    <x v="1"/>
    <x v="11"/>
    <x v="17"/>
    <x v="0"/>
    <x v="192"/>
    <x v="29"/>
    <x v="1"/>
    <x v="194"/>
  </r>
  <r>
    <x v="199"/>
    <x v="28"/>
    <x v="23"/>
    <x v="5"/>
    <x v="16"/>
    <x v="8"/>
    <x v="1"/>
    <x v="193"/>
    <x v="0"/>
    <x v="0"/>
    <x v="195"/>
  </r>
  <r>
    <x v="200"/>
    <x v="29"/>
    <x v="17"/>
    <x v="2"/>
    <x v="2"/>
    <x v="16"/>
    <x v="0"/>
    <x v="194"/>
    <x v="0"/>
    <x v="0"/>
    <x v="107"/>
  </r>
  <r>
    <x v="201"/>
    <x v="37"/>
    <x v="15"/>
    <x v="2"/>
    <x v="6"/>
    <x v="8"/>
    <x v="0"/>
    <x v="195"/>
    <x v="0"/>
    <x v="0"/>
    <x v="196"/>
  </r>
  <r>
    <x v="202"/>
    <x v="38"/>
    <x v="9"/>
    <x v="2"/>
    <x v="6"/>
    <x v="21"/>
    <x v="0"/>
    <x v="196"/>
    <x v="0"/>
    <x v="0"/>
    <x v="197"/>
  </r>
  <r>
    <x v="203"/>
    <x v="20"/>
    <x v="12"/>
    <x v="1"/>
    <x v="14"/>
    <x v="12"/>
    <x v="1"/>
    <x v="197"/>
    <x v="0"/>
    <x v="0"/>
    <x v="198"/>
  </r>
  <r>
    <x v="204"/>
    <x v="13"/>
    <x v="8"/>
    <x v="2"/>
    <x v="6"/>
    <x v="7"/>
    <x v="1"/>
    <x v="198"/>
    <x v="0"/>
    <x v="0"/>
    <x v="199"/>
  </r>
  <r>
    <x v="205"/>
    <x v="13"/>
    <x v="1"/>
    <x v="5"/>
    <x v="15"/>
    <x v="3"/>
    <x v="0"/>
    <x v="199"/>
    <x v="0"/>
    <x v="0"/>
    <x v="200"/>
  </r>
  <r>
    <x v="206"/>
    <x v="36"/>
    <x v="20"/>
    <x v="1"/>
    <x v="12"/>
    <x v="9"/>
    <x v="0"/>
    <x v="200"/>
    <x v="0"/>
    <x v="0"/>
    <x v="201"/>
  </r>
  <r>
    <x v="207"/>
    <x v="10"/>
    <x v="9"/>
    <x v="5"/>
    <x v="7"/>
    <x v="21"/>
    <x v="0"/>
    <x v="201"/>
    <x v="0"/>
    <x v="0"/>
    <x v="202"/>
  </r>
  <r>
    <x v="208"/>
    <x v="39"/>
    <x v="22"/>
    <x v="2"/>
    <x v="13"/>
    <x v="12"/>
    <x v="0"/>
    <x v="202"/>
    <x v="0"/>
    <x v="0"/>
    <x v="203"/>
  </r>
  <r>
    <x v="209"/>
    <x v="6"/>
    <x v="9"/>
    <x v="4"/>
    <x v="8"/>
    <x v="18"/>
    <x v="1"/>
    <x v="203"/>
    <x v="30"/>
    <x v="1"/>
    <x v="204"/>
  </r>
  <r>
    <x v="210"/>
    <x v="25"/>
    <x v="0"/>
    <x v="2"/>
    <x v="2"/>
    <x v="5"/>
    <x v="1"/>
    <x v="204"/>
    <x v="0"/>
    <x v="0"/>
    <x v="205"/>
  </r>
  <r>
    <x v="211"/>
    <x v="14"/>
    <x v="13"/>
    <x v="1"/>
    <x v="1"/>
    <x v="14"/>
    <x v="1"/>
    <x v="205"/>
    <x v="0"/>
    <x v="0"/>
    <x v="206"/>
  </r>
  <r>
    <x v="212"/>
    <x v="31"/>
    <x v="10"/>
    <x v="1"/>
    <x v="11"/>
    <x v="0"/>
    <x v="0"/>
    <x v="168"/>
    <x v="0"/>
    <x v="0"/>
    <x v="207"/>
  </r>
  <r>
    <x v="213"/>
    <x v="22"/>
    <x v="23"/>
    <x v="5"/>
    <x v="15"/>
    <x v="3"/>
    <x v="0"/>
    <x v="206"/>
    <x v="0"/>
    <x v="0"/>
    <x v="208"/>
  </r>
  <r>
    <x v="214"/>
    <x v="2"/>
    <x v="5"/>
    <x v="2"/>
    <x v="13"/>
    <x v="8"/>
    <x v="1"/>
    <x v="207"/>
    <x v="0"/>
    <x v="0"/>
    <x v="209"/>
  </r>
  <r>
    <x v="215"/>
    <x v="28"/>
    <x v="24"/>
    <x v="4"/>
    <x v="5"/>
    <x v="8"/>
    <x v="0"/>
    <x v="208"/>
    <x v="0"/>
    <x v="0"/>
    <x v="210"/>
  </r>
  <r>
    <x v="216"/>
    <x v="14"/>
    <x v="22"/>
    <x v="5"/>
    <x v="7"/>
    <x v="19"/>
    <x v="1"/>
    <x v="209"/>
    <x v="0"/>
    <x v="0"/>
    <x v="211"/>
  </r>
  <r>
    <x v="217"/>
    <x v="34"/>
    <x v="23"/>
    <x v="2"/>
    <x v="6"/>
    <x v="7"/>
    <x v="0"/>
    <x v="210"/>
    <x v="31"/>
    <x v="1"/>
    <x v="212"/>
  </r>
  <r>
    <x v="218"/>
    <x v="11"/>
    <x v="8"/>
    <x v="3"/>
    <x v="3"/>
    <x v="1"/>
    <x v="1"/>
    <x v="211"/>
    <x v="0"/>
    <x v="0"/>
    <x v="213"/>
  </r>
  <r>
    <x v="219"/>
    <x v="1"/>
    <x v="15"/>
    <x v="5"/>
    <x v="16"/>
    <x v="21"/>
    <x v="1"/>
    <x v="74"/>
    <x v="0"/>
    <x v="0"/>
    <x v="214"/>
  </r>
  <r>
    <x v="220"/>
    <x v="25"/>
    <x v="15"/>
    <x v="1"/>
    <x v="14"/>
    <x v="14"/>
    <x v="0"/>
    <x v="212"/>
    <x v="0"/>
    <x v="0"/>
    <x v="215"/>
  </r>
  <r>
    <x v="221"/>
    <x v="21"/>
    <x v="14"/>
    <x v="4"/>
    <x v="8"/>
    <x v="12"/>
    <x v="1"/>
    <x v="213"/>
    <x v="0"/>
    <x v="0"/>
    <x v="216"/>
  </r>
  <r>
    <x v="222"/>
    <x v="28"/>
    <x v="3"/>
    <x v="3"/>
    <x v="3"/>
    <x v="2"/>
    <x v="0"/>
    <x v="214"/>
    <x v="0"/>
    <x v="0"/>
    <x v="217"/>
  </r>
  <r>
    <x v="223"/>
    <x v="3"/>
    <x v="20"/>
    <x v="1"/>
    <x v="1"/>
    <x v="0"/>
    <x v="1"/>
    <x v="215"/>
    <x v="0"/>
    <x v="0"/>
    <x v="218"/>
  </r>
  <r>
    <x v="224"/>
    <x v="31"/>
    <x v="9"/>
    <x v="3"/>
    <x v="10"/>
    <x v="21"/>
    <x v="0"/>
    <x v="216"/>
    <x v="0"/>
    <x v="0"/>
    <x v="219"/>
  </r>
  <r>
    <x v="225"/>
    <x v="20"/>
    <x v="3"/>
    <x v="1"/>
    <x v="11"/>
    <x v="20"/>
    <x v="1"/>
    <x v="217"/>
    <x v="0"/>
    <x v="0"/>
    <x v="220"/>
  </r>
  <r>
    <x v="226"/>
    <x v="10"/>
    <x v="19"/>
    <x v="5"/>
    <x v="16"/>
    <x v="9"/>
    <x v="0"/>
    <x v="218"/>
    <x v="0"/>
    <x v="0"/>
    <x v="221"/>
  </r>
  <r>
    <x v="227"/>
    <x v="12"/>
    <x v="9"/>
    <x v="2"/>
    <x v="6"/>
    <x v="21"/>
    <x v="1"/>
    <x v="219"/>
    <x v="0"/>
    <x v="0"/>
    <x v="1"/>
  </r>
  <r>
    <x v="228"/>
    <x v="16"/>
    <x v="6"/>
    <x v="3"/>
    <x v="3"/>
    <x v="7"/>
    <x v="1"/>
    <x v="220"/>
    <x v="0"/>
    <x v="0"/>
    <x v="222"/>
  </r>
  <r>
    <x v="229"/>
    <x v="11"/>
    <x v="1"/>
    <x v="4"/>
    <x v="5"/>
    <x v="6"/>
    <x v="0"/>
    <x v="221"/>
    <x v="0"/>
    <x v="0"/>
    <x v="223"/>
  </r>
  <r>
    <x v="230"/>
    <x v="13"/>
    <x v="15"/>
    <x v="1"/>
    <x v="14"/>
    <x v="20"/>
    <x v="0"/>
    <x v="222"/>
    <x v="0"/>
    <x v="0"/>
    <x v="224"/>
  </r>
  <r>
    <x v="231"/>
    <x v="20"/>
    <x v="4"/>
    <x v="2"/>
    <x v="13"/>
    <x v="21"/>
    <x v="0"/>
    <x v="223"/>
    <x v="0"/>
    <x v="0"/>
    <x v="225"/>
  </r>
  <r>
    <x v="232"/>
    <x v="37"/>
    <x v="17"/>
    <x v="4"/>
    <x v="5"/>
    <x v="14"/>
    <x v="0"/>
    <x v="2"/>
    <x v="0"/>
    <x v="0"/>
    <x v="226"/>
  </r>
  <r>
    <x v="233"/>
    <x v="10"/>
    <x v="1"/>
    <x v="1"/>
    <x v="12"/>
    <x v="7"/>
    <x v="1"/>
    <x v="224"/>
    <x v="0"/>
    <x v="0"/>
    <x v="227"/>
  </r>
  <r>
    <x v="234"/>
    <x v="19"/>
    <x v="10"/>
    <x v="5"/>
    <x v="7"/>
    <x v="14"/>
    <x v="0"/>
    <x v="225"/>
    <x v="0"/>
    <x v="0"/>
    <x v="228"/>
  </r>
  <r>
    <x v="235"/>
    <x v="15"/>
    <x v="16"/>
    <x v="4"/>
    <x v="5"/>
    <x v="19"/>
    <x v="0"/>
    <x v="226"/>
    <x v="0"/>
    <x v="0"/>
    <x v="229"/>
  </r>
  <r>
    <x v="236"/>
    <x v="5"/>
    <x v="4"/>
    <x v="2"/>
    <x v="2"/>
    <x v="10"/>
    <x v="0"/>
    <x v="227"/>
    <x v="0"/>
    <x v="0"/>
    <x v="230"/>
  </r>
  <r>
    <x v="237"/>
    <x v="18"/>
    <x v="23"/>
    <x v="5"/>
    <x v="7"/>
    <x v="17"/>
    <x v="1"/>
    <x v="170"/>
    <x v="0"/>
    <x v="0"/>
    <x v="231"/>
  </r>
  <r>
    <x v="238"/>
    <x v="25"/>
    <x v="2"/>
    <x v="4"/>
    <x v="5"/>
    <x v="21"/>
    <x v="0"/>
    <x v="228"/>
    <x v="0"/>
    <x v="0"/>
    <x v="232"/>
  </r>
  <r>
    <x v="239"/>
    <x v="31"/>
    <x v="18"/>
    <x v="4"/>
    <x v="4"/>
    <x v="31"/>
    <x v="1"/>
    <x v="229"/>
    <x v="0"/>
    <x v="0"/>
    <x v="233"/>
  </r>
  <r>
    <x v="240"/>
    <x v="33"/>
    <x v="7"/>
    <x v="3"/>
    <x v="10"/>
    <x v="5"/>
    <x v="0"/>
    <x v="230"/>
    <x v="0"/>
    <x v="0"/>
    <x v="234"/>
  </r>
  <r>
    <x v="241"/>
    <x v="34"/>
    <x v="3"/>
    <x v="1"/>
    <x v="1"/>
    <x v="10"/>
    <x v="1"/>
    <x v="231"/>
    <x v="0"/>
    <x v="0"/>
    <x v="235"/>
  </r>
  <r>
    <x v="242"/>
    <x v="4"/>
    <x v="17"/>
    <x v="2"/>
    <x v="6"/>
    <x v="5"/>
    <x v="1"/>
    <x v="232"/>
    <x v="0"/>
    <x v="0"/>
    <x v="236"/>
  </r>
  <r>
    <x v="243"/>
    <x v="2"/>
    <x v="1"/>
    <x v="4"/>
    <x v="4"/>
    <x v="8"/>
    <x v="0"/>
    <x v="233"/>
    <x v="0"/>
    <x v="0"/>
    <x v="237"/>
  </r>
  <r>
    <x v="244"/>
    <x v="18"/>
    <x v="10"/>
    <x v="4"/>
    <x v="4"/>
    <x v="7"/>
    <x v="0"/>
    <x v="234"/>
    <x v="0"/>
    <x v="0"/>
    <x v="238"/>
  </r>
  <r>
    <x v="245"/>
    <x v="31"/>
    <x v="2"/>
    <x v="1"/>
    <x v="11"/>
    <x v="5"/>
    <x v="0"/>
    <x v="235"/>
    <x v="32"/>
    <x v="1"/>
    <x v="239"/>
  </r>
  <r>
    <x v="246"/>
    <x v="0"/>
    <x v="6"/>
    <x v="4"/>
    <x v="8"/>
    <x v="12"/>
    <x v="0"/>
    <x v="236"/>
    <x v="0"/>
    <x v="0"/>
    <x v="240"/>
  </r>
  <r>
    <x v="247"/>
    <x v="37"/>
    <x v="0"/>
    <x v="4"/>
    <x v="8"/>
    <x v="11"/>
    <x v="1"/>
    <x v="237"/>
    <x v="0"/>
    <x v="0"/>
    <x v="241"/>
  </r>
  <r>
    <x v="248"/>
    <x v="1"/>
    <x v="19"/>
    <x v="2"/>
    <x v="13"/>
    <x v="12"/>
    <x v="1"/>
    <x v="238"/>
    <x v="0"/>
    <x v="0"/>
    <x v="242"/>
  </r>
  <r>
    <x v="249"/>
    <x v="5"/>
    <x v="5"/>
    <x v="2"/>
    <x v="2"/>
    <x v="8"/>
    <x v="0"/>
    <x v="239"/>
    <x v="0"/>
    <x v="0"/>
    <x v="243"/>
  </r>
  <r>
    <x v="250"/>
    <x v="33"/>
    <x v="17"/>
    <x v="4"/>
    <x v="8"/>
    <x v="4"/>
    <x v="1"/>
    <x v="240"/>
    <x v="0"/>
    <x v="0"/>
    <x v="244"/>
  </r>
  <r>
    <x v="251"/>
    <x v="25"/>
    <x v="21"/>
    <x v="1"/>
    <x v="14"/>
    <x v="21"/>
    <x v="0"/>
    <x v="241"/>
    <x v="0"/>
    <x v="0"/>
    <x v="245"/>
  </r>
  <r>
    <x v="252"/>
    <x v="15"/>
    <x v="2"/>
    <x v="3"/>
    <x v="10"/>
    <x v="19"/>
    <x v="0"/>
    <x v="242"/>
    <x v="0"/>
    <x v="0"/>
    <x v="246"/>
  </r>
  <r>
    <x v="253"/>
    <x v="34"/>
    <x v="4"/>
    <x v="2"/>
    <x v="13"/>
    <x v="7"/>
    <x v="1"/>
    <x v="243"/>
    <x v="0"/>
    <x v="0"/>
    <x v="247"/>
  </r>
  <r>
    <x v="254"/>
    <x v="10"/>
    <x v="7"/>
    <x v="1"/>
    <x v="12"/>
    <x v="7"/>
    <x v="0"/>
    <x v="244"/>
    <x v="0"/>
    <x v="0"/>
    <x v="248"/>
  </r>
  <r>
    <x v="255"/>
    <x v="16"/>
    <x v="16"/>
    <x v="4"/>
    <x v="4"/>
    <x v="3"/>
    <x v="1"/>
    <x v="245"/>
    <x v="33"/>
    <x v="1"/>
    <x v="249"/>
  </r>
  <r>
    <x v="256"/>
    <x v="17"/>
    <x v="14"/>
    <x v="4"/>
    <x v="5"/>
    <x v="5"/>
    <x v="1"/>
    <x v="246"/>
    <x v="34"/>
    <x v="1"/>
    <x v="250"/>
  </r>
  <r>
    <x v="257"/>
    <x v="9"/>
    <x v="6"/>
    <x v="5"/>
    <x v="7"/>
    <x v="22"/>
    <x v="0"/>
    <x v="247"/>
    <x v="0"/>
    <x v="0"/>
    <x v="251"/>
  </r>
  <r>
    <x v="258"/>
    <x v="18"/>
    <x v="5"/>
    <x v="5"/>
    <x v="7"/>
    <x v="23"/>
    <x v="0"/>
    <x v="248"/>
    <x v="0"/>
    <x v="0"/>
    <x v="252"/>
  </r>
  <r>
    <x v="259"/>
    <x v="10"/>
    <x v="8"/>
    <x v="1"/>
    <x v="14"/>
    <x v="8"/>
    <x v="1"/>
    <x v="249"/>
    <x v="0"/>
    <x v="0"/>
    <x v="253"/>
  </r>
  <r>
    <x v="260"/>
    <x v="2"/>
    <x v="1"/>
    <x v="4"/>
    <x v="4"/>
    <x v="3"/>
    <x v="0"/>
    <x v="250"/>
    <x v="0"/>
    <x v="0"/>
    <x v="254"/>
  </r>
  <r>
    <x v="261"/>
    <x v="16"/>
    <x v="20"/>
    <x v="2"/>
    <x v="2"/>
    <x v="1"/>
    <x v="0"/>
    <x v="251"/>
    <x v="0"/>
    <x v="0"/>
    <x v="255"/>
  </r>
  <r>
    <x v="262"/>
    <x v="36"/>
    <x v="0"/>
    <x v="4"/>
    <x v="8"/>
    <x v="1"/>
    <x v="1"/>
    <x v="110"/>
    <x v="0"/>
    <x v="0"/>
    <x v="256"/>
  </r>
  <r>
    <x v="263"/>
    <x v="15"/>
    <x v="2"/>
    <x v="1"/>
    <x v="11"/>
    <x v="19"/>
    <x v="1"/>
    <x v="252"/>
    <x v="0"/>
    <x v="0"/>
    <x v="257"/>
  </r>
  <r>
    <x v="264"/>
    <x v="22"/>
    <x v="9"/>
    <x v="5"/>
    <x v="16"/>
    <x v="16"/>
    <x v="0"/>
    <x v="253"/>
    <x v="0"/>
    <x v="0"/>
    <x v="258"/>
  </r>
  <r>
    <x v="265"/>
    <x v="7"/>
    <x v="10"/>
    <x v="1"/>
    <x v="11"/>
    <x v="21"/>
    <x v="0"/>
    <x v="254"/>
    <x v="0"/>
    <x v="0"/>
    <x v="259"/>
  </r>
  <r>
    <x v="266"/>
    <x v="12"/>
    <x v="17"/>
    <x v="3"/>
    <x v="10"/>
    <x v="22"/>
    <x v="0"/>
    <x v="255"/>
    <x v="0"/>
    <x v="0"/>
    <x v="260"/>
  </r>
  <r>
    <x v="267"/>
    <x v="11"/>
    <x v="6"/>
    <x v="3"/>
    <x v="10"/>
    <x v="14"/>
    <x v="1"/>
    <x v="256"/>
    <x v="0"/>
    <x v="0"/>
    <x v="261"/>
  </r>
  <r>
    <x v="268"/>
    <x v="9"/>
    <x v="16"/>
    <x v="5"/>
    <x v="16"/>
    <x v="12"/>
    <x v="0"/>
    <x v="257"/>
    <x v="0"/>
    <x v="0"/>
    <x v="262"/>
  </r>
  <r>
    <x v="269"/>
    <x v="33"/>
    <x v="13"/>
    <x v="5"/>
    <x v="16"/>
    <x v="21"/>
    <x v="0"/>
    <x v="258"/>
    <x v="0"/>
    <x v="0"/>
    <x v="263"/>
  </r>
  <r>
    <x v="270"/>
    <x v="34"/>
    <x v="7"/>
    <x v="4"/>
    <x v="8"/>
    <x v="10"/>
    <x v="1"/>
    <x v="259"/>
    <x v="0"/>
    <x v="0"/>
    <x v="264"/>
  </r>
  <r>
    <x v="271"/>
    <x v="27"/>
    <x v="24"/>
    <x v="5"/>
    <x v="15"/>
    <x v="8"/>
    <x v="0"/>
    <x v="260"/>
    <x v="35"/>
    <x v="1"/>
    <x v="265"/>
  </r>
  <r>
    <x v="272"/>
    <x v="27"/>
    <x v="16"/>
    <x v="5"/>
    <x v="15"/>
    <x v="0"/>
    <x v="0"/>
    <x v="261"/>
    <x v="0"/>
    <x v="0"/>
    <x v="266"/>
  </r>
  <r>
    <x v="273"/>
    <x v="5"/>
    <x v="18"/>
    <x v="1"/>
    <x v="1"/>
    <x v="5"/>
    <x v="0"/>
    <x v="262"/>
    <x v="0"/>
    <x v="0"/>
    <x v="267"/>
  </r>
  <r>
    <x v="274"/>
    <x v="17"/>
    <x v="10"/>
    <x v="3"/>
    <x v="3"/>
    <x v="12"/>
    <x v="1"/>
    <x v="263"/>
    <x v="0"/>
    <x v="0"/>
    <x v="268"/>
  </r>
  <r>
    <x v="275"/>
    <x v="35"/>
    <x v="1"/>
    <x v="3"/>
    <x v="3"/>
    <x v="11"/>
    <x v="0"/>
    <x v="264"/>
    <x v="0"/>
    <x v="0"/>
    <x v="269"/>
  </r>
  <r>
    <x v="276"/>
    <x v="16"/>
    <x v="21"/>
    <x v="1"/>
    <x v="1"/>
    <x v="7"/>
    <x v="0"/>
    <x v="265"/>
    <x v="0"/>
    <x v="0"/>
    <x v="270"/>
  </r>
  <r>
    <x v="277"/>
    <x v="38"/>
    <x v="3"/>
    <x v="1"/>
    <x v="1"/>
    <x v="19"/>
    <x v="0"/>
    <x v="266"/>
    <x v="0"/>
    <x v="0"/>
    <x v="271"/>
  </r>
  <r>
    <x v="278"/>
    <x v="35"/>
    <x v="11"/>
    <x v="4"/>
    <x v="8"/>
    <x v="22"/>
    <x v="1"/>
    <x v="267"/>
    <x v="0"/>
    <x v="0"/>
    <x v="272"/>
  </r>
  <r>
    <x v="279"/>
    <x v="19"/>
    <x v="15"/>
    <x v="4"/>
    <x v="4"/>
    <x v="4"/>
    <x v="0"/>
    <x v="268"/>
    <x v="0"/>
    <x v="0"/>
    <x v="273"/>
  </r>
  <r>
    <x v="280"/>
    <x v="27"/>
    <x v="24"/>
    <x v="4"/>
    <x v="5"/>
    <x v="7"/>
    <x v="0"/>
    <x v="269"/>
    <x v="0"/>
    <x v="0"/>
    <x v="274"/>
  </r>
  <r>
    <x v="281"/>
    <x v="19"/>
    <x v="10"/>
    <x v="2"/>
    <x v="2"/>
    <x v="20"/>
    <x v="0"/>
    <x v="270"/>
    <x v="36"/>
    <x v="1"/>
    <x v="275"/>
  </r>
  <r>
    <x v="282"/>
    <x v="7"/>
    <x v="0"/>
    <x v="5"/>
    <x v="16"/>
    <x v="5"/>
    <x v="0"/>
    <x v="271"/>
    <x v="0"/>
    <x v="0"/>
    <x v="276"/>
  </r>
  <r>
    <x v="283"/>
    <x v="10"/>
    <x v="1"/>
    <x v="4"/>
    <x v="5"/>
    <x v="20"/>
    <x v="0"/>
    <x v="272"/>
    <x v="0"/>
    <x v="0"/>
    <x v="277"/>
  </r>
  <r>
    <x v="284"/>
    <x v="3"/>
    <x v="5"/>
    <x v="1"/>
    <x v="1"/>
    <x v="3"/>
    <x v="0"/>
    <x v="273"/>
    <x v="0"/>
    <x v="0"/>
    <x v="278"/>
  </r>
  <r>
    <x v="285"/>
    <x v="9"/>
    <x v="3"/>
    <x v="1"/>
    <x v="1"/>
    <x v="16"/>
    <x v="1"/>
    <x v="274"/>
    <x v="0"/>
    <x v="0"/>
    <x v="279"/>
  </r>
  <r>
    <x v="286"/>
    <x v="30"/>
    <x v="14"/>
    <x v="0"/>
    <x v="0"/>
    <x v="32"/>
    <x v="1"/>
    <x v="275"/>
    <x v="37"/>
    <x v="1"/>
    <x v="280"/>
  </r>
  <r>
    <x v="287"/>
    <x v="38"/>
    <x v="18"/>
    <x v="5"/>
    <x v="16"/>
    <x v="17"/>
    <x v="0"/>
    <x v="276"/>
    <x v="0"/>
    <x v="0"/>
    <x v="281"/>
  </r>
  <r>
    <x v="288"/>
    <x v="11"/>
    <x v="8"/>
    <x v="4"/>
    <x v="8"/>
    <x v="10"/>
    <x v="1"/>
    <x v="277"/>
    <x v="38"/>
    <x v="1"/>
    <x v="282"/>
  </r>
  <r>
    <x v="289"/>
    <x v="5"/>
    <x v="1"/>
    <x v="3"/>
    <x v="3"/>
    <x v="8"/>
    <x v="0"/>
    <x v="278"/>
    <x v="0"/>
    <x v="0"/>
    <x v="283"/>
  </r>
  <r>
    <x v="290"/>
    <x v="6"/>
    <x v="19"/>
    <x v="1"/>
    <x v="11"/>
    <x v="1"/>
    <x v="0"/>
    <x v="279"/>
    <x v="0"/>
    <x v="0"/>
    <x v="284"/>
  </r>
  <r>
    <x v="291"/>
    <x v="14"/>
    <x v="7"/>
    <x v="3"/>
    <x v="10"/>
    <x v="1"/>
    <x v="0"/>
    <x v="280"/>
    <x v="0"/>
    <x v="0"/>
    <x v="285"/>
  </r>
  <r>
    <x v="292"/>
    <x v="28"/>
    <x v="15"/>
    <x v="2"/>
    <x v="6"/>
    <x v="29"/>
    <x v="1"/>
    <x v="281"/>
    <x v="0"/>
    <x v="0"/>
    <x v="1"/>
  </r>
  <r>
    <x v="293"/>
    <x v="22"/>
    <x v="5"/>
    <x v="4"/>
    <x v="4"/>
    <x v="7"/>
    <x v="0"/>
    <x v="282"/>
    <x v="0"/>
    <x v="0"/>
    <x v="286"/>
  </r>
  <r>
    <x v="294"/>
    <x v="25"/>
    <x v="0"/>
    <x v="4"/>
    <x v="5"/>
    <x v="20"/>
    <x v="1"/>
    <x v="283"/>
    <x v="0"/>
    <x v="0"/>
    <x v="287"/>
  </r>
  <r>
    <x v="295"/>
    <x v="27"/>
    <x v="3"/>
    <x v="3"/>
    <x v="3"/>
    <x v="8"/>
    <x v="1"/>
    <x v="284"/>
    <x v="0"/>
    <x v="0"/>
    <x v="288"/>
  </r>
  <r>
    <x v="296"/>
    <x v="8"/>
    <x v="3"/>
    <x v="1"/>
    <x v="14"/>
    <x v="2"/>
    <x v="1"/>
    <x v="285"/>
    <x v="0"/>
    <x v="0"/>
    <x v="289"/>
  </r>
  <r>
    <x v="297"/>
    <x v="28"/>
    <x v="19"/>
    <x v="1"/>
    <x v="1"/>
    <x v="20"/>
    <x v="0"/>
    <x v="286"/>
    <x v="0"/>
    <x v="0"/>
    <x v="290"/>
  </r>
  <r>
    <x v="298"/>
    <x v="10"/>
    <x v="24"/>
    <x v="3"/>
    <x v="10"/>
    <x v="3"/>
    <x v="0"/>
    <x v="287"/>
    <x v="0"/>
    <x v="0"/>
    <x v="291"/>
  </r>
  <r>
    <x v="299"/>
    <x v="13"/>
    <x v="11"/>
    <x v="1"/>
    <x v="1"/>
    <x v="26"/>
    <x v="0"/>
    <x v="92"/>
    <x v="39"/>
    <x v="1"/>
    <x v="292"/>
  </r>
  <r>
    <x v="300"/>
    <x v="9"/>
    <x v="4"/>
    <x v="4"/>
    <x v="4"/>
    <x v="6"/>
    <x v="0"/>
    <x v="288"/>
    <x v="0"/>
    <x v="0"/>
    <x v="293"/>
  </r>
  <r>
    <x v="301"/>
    <x v="37"/>
    <x v="11"/>
    <x v="4"/>
    <x v="5"/>
    <x v="1"/>
    <x v="1"/>
    <x v="289"/>
    <x v="0"/>
    <x v="0"/>
    <x v="294"/>
  </r>
  <r>
    <x v="302"/>
    <x v="0"/>
    <x v="11"/>
    <x v="5"/>
    <x v="16"/>
    <x v="25"/>
    <x v="0"/>
    <x v="290"/>
    <x v="0"/>
    <x v="0"/>
    <x v="295"/>
  </r>
  <r>
    <x v="303"/>
    <x v="11"/>
    <x v="10"/>
    <x v="1"/>
    <x v="12"/>
    <x v="6"/>
    <x v="0"/>
    <x v="291"/>
    <x v="0"/>
    <x v="0"/>
    <x v="296"/>
  </r>
  <r>
    <x v="304"/>
    <x v="34"/>
    <x v="9"/>
    <x v="4"/>
    <x v="8"/>
    <x v="3"/>
    <x v="1"/>
    <x v="292"/>
    <x v="0"/>
    <x v="0"/>
    <x v="297"/>
  </r>
  <r>
    <x v="305"/>
    <x v="30"/>
    <x v="10"/>
    <x v="0"/>
    <x v="9"/>
    <x v="8"/>
    <x v="1"/>
    <x v="293"/>
    <x v="0"/>
    <x v="0"/>
    <x v="298"/>
  </r>
  <r>
    <x v="306"/>
    <x v="20"/>
    <x v="20"/>
    <x v="5"/>
    <x v="16"/>
    <x v="17"/>
    <x v="0"/>
    <x v="294"/>
    <x v="0"/>
    <x v="0"/>
    <x v="299"/>
  </r>
  <r>
    <x v="307"/>
    <x v="19"/>
    <x v="15"/>
    <x v="4"/>
    <x v="5"/>
    <x v="6"/>
    <x v="0"/>
    <x v="295"/>
    <x v="0"/>
    <x v="0"/>
    <x v="300"/>
  </r>
  <r>
    <x v="308"/>
    <x v="17"/>
    <x v="3"/>
    <x v="0"/>
    <x v="9"/>
    <x v="21"/>
    <x v="1"/>
    <x v="296"/>
    <x v="0"/>
    <x v="0"/>
    <x v="301"/>
  </r>
  <r>
    <x v="309"/>
    <x v="4"/>
    <x v="19"/>
    <x v="5"/>
    <x v="15"/>
    <x v="6"/>
    <x v="0"/>
    <x v="297"/>
    <x v="0"/>
    <x v="0"/>
    <x v="302"/>
  </r>
  <r>
    <x v="310"/>
    <x v="21"/>
    <x v="5"/>
    <x v="1"/>
    <x v="12"/>
    <x v="0"/>
    <x v="1"/>
    <x v="92"/>
    <x v="0"/>
    <x v="0"/>
    <x v="303"/>
  </r>
  <r>
    <x v="311"/>
    <x v="28"/>
    <x v="9"/>
    <x v="4"/>
    <x v="5"/>
    <x v="0"/>
    <x v="0"/>
    <x v="298"/>
    <x v="0"/>
    <x v="0"/>
    <x v="304"/>
  </r>
  <r>
    <x v="312"/>
    <x v="36"/>
    <x v="16"/>
    <x v="4"/>
    <x v="4"/>
    <x v="4"/>
    <x v="0"/>
    <x v="299"/>
    <x v="40"/>
    <x v="1"/>
    <x v="305"/>
  </r>
  <r>
    <x v="313"/>
    <x v="10"/>
    <x v="22"/>
    <x v="4"/>
    <x v="8"/>
    <x v="28"/>
    <x v="0"/>
    <x v="300"/>
    <x v="0"/>
    <x v="0"/>
    <x v="306"/>
  </r>
  <r>
    <x v="314"/>
    <x v="25"/>
    <x v="8"/>
    <x v="5"/>
    <x v="15"/>
    <x v="17"/>
    <x v="1"/>
    <x v="301"/>
    <x v="0"/>
    <x v="0"/>
    <x v="307"/>
  </r>
  <r>
    <x v="315"/>
    <x v="36"/>
    <x v="18"/>
    <x v="4"/>
    <x v="5"/>
    <x v="19"/>
    <x v="0"/>
    <x v="302"/>
    <x v="0"/>
    <x v="0"/>
    <x v="308"/>
  </r>
  <r>
    <x v="316"/>
    <x v="15"/>
    <x v="0"/>
    <x v="4"/>
    <x v="4"/>
    <x v="8"/>
    <x v="0"/>
    <x v="303"/>
    <x v="0"/>
    <x v="0"/>
    <x v="309"/>
  </r>
  <r>
    <x v="317"/>
    <x v="32"/>
    <x v="5"/>
    <x v="5"/>
    <x v="16"/>
    <x v="9"/>
    <x v="1"/>
    <x v="304"/>
    <x v="0"/>
    <x v="0"/>
    <x v="310"/>
  </r>
  <r>
    <x v="318"/>
    <x v="4"/>
    <x v="21"/>
    <x v="1"/>
    <x v="12"/>
    <x v="31"/>
    <x v="1"/>
    <x v="148"/>
    <x v="0"/>
    <x v="0"/>
    <x v="311"/>
  </r>
  <r>
    <x v="319"/>
    <x v="24"/>
    <x v="6"/>
    <x v="2"/>
    <x v="13"/>
    <x v="4"/>
    <x v="0"/>
    <x v="305"/>
    <x v="0"/>
    <x v="0"/>
    <x v="312"/>
  </r>
  <r>
    <x v="320"/>
    <x v="39"/>
    <x v="4"/>
    <x v="4"/>
    <x v="4"/>
    <x v="21"/>
    <x v="1"/>
    <x v="306"/>
    <x v="0"/>
    <x v="0"/>
    <x v="313"/>
  </r>
  <r>
    <x v="321"/>
    <x v="13"/>
    <x v="4"/>
    <x v="1"/>
    <x v="11"/>
    <x v="6"/>
    <x v="0"/>
    <x v="307"/>
    <x v="0"/>
    <x v="0"/>
    <x v="314"/>
  </r>
  <r>
    <x v="322"/>
    <x v="32"/>
    <x v="18"/>
    <x v="0"/>
    <x v="9"/>
    <x v="8"/>
    <x v="1"/>
    <x v="308"/>
    <x v="0"/>
    <x v="0"/>
    <x v="315"/>
  </r>
  <r>
    <x v="323"/>
    <x v="12"/>
    <x v="22"/>
    <x v="4"/>
    <x v="5"/>
    <x v="14"/>
    <x v="0"/>
    <x v="309"/>
    <x v="0"/>
    <x v="0"/>
    <x v="316"/>
  </r>
  <r>
    <x v="324"/>
    <x v="10"/>
    <x v="1"/>
    <x v="2"/>
    <x v="6"/>
    <x v="15"/>
    <x v="0"/>
    <x v="310"/>
    <x v="41"/>
    <x v="1"/>
    <x v="317"/>
  </r>
  <r>
    <x v="325"/>
    <x v="20"/>
    <x v="13"/>
    <x v="1"/>
    <x v="11"/>
    <x v="17"/>
    <x v="0"/>
    <x v="311"/>
    <x v="0"/>
    <x v="0"/>
    <x v="318"/>
  </r>
  <r>
    <x v="326"/>
    <x v="7"/>
    <x v="18"/>
    <x v="4"/>
    <x v="5"/>
    <x v="14"/>
    <x v="1"/>
    <x v="312"/>
    <x v="0"/>
    <x v="0"/>
    <x v="319"/>
  </r>
  <r>
    <x v="327"/>
    <x v="17"/>
    <x v="16"/>
    <x v="1"/>
    <x v="11"/>
    <x v="10"/>
    <x v="0"/>
    <x v="313"/>
    <x v="0"/>
    <x v="0"/>
    <x v="320"/>
  </r>
  <r>
    <x v="328"/>
    <x v="27"/>
    <x v="21"/>
    <x v="5"/>
    <x v="15"/>
    <x v="22"/>
    <x v="1"/>
    <x v="314"/>
    <x v="0"/>
    <x v="0"/>
    <x v="321"/>
  </r>
  <r>
    <x v="329"/>
    <x v="39"/>
    <x v="4"/>
    <x v="4"/>
    <x v="4"/>
    <x v="9"/>
    <x v="0"/>
    <x v="315"/>
    <x v="0"/>
    <x v="0"/>
    <x v="322"/>
  </r>
  <r>
    <x v="330"/>
    <x v="5"/>
    <x v="1"/>
    <x v="3"/>
    <x v="10"/>
    <x v="0"/>
    <x v="0"/>
    <x v="316"/>
    <x v="0"/>
    <x v="0"/>
    <x v="323"/>
  </r>
  <r>
    <x v="331"/>
    <x v="22"/>
    <x v="20"/>
    <x v="1"/>
    <x v="14"/>
    <x v="8"/>
    <x v="0"/>
    <x v="317"/>
    <x v="42"/>
    <x v="1"/>
    <x v="324"/>
  </r>
  <r>
    <x v="332"/>
    <x v="36"/>
    <x v="8"/>
    <x v="5"/>
    <x v="16"/>
    <x v="11"/>
    <x v="0"/>
    <x v="318"/>
    <x v="0"/>
    <x v="0"/>
    <x v="325"/>
  </r>
  <r>
    <x v="333"/>
    <x v="17"/>
    <x v="5"/>
    <x v="4"/>
    <x v="4"/>
    <x v="1"/>
    <x v="1"/>
    <x v="319"/>
    <x v="0"/>
    <x v="0"/>
    <x v="326"/>
  </r>
  <r>
    <x v="334"/>
    <x v="6"/>
    <x v="9"/>
    <x v="2"/>
    <x v="13"/>
    <x v="29"/>
    <x v="0"/>
    <x v="115"/>
    <x v="0"/>
    <x v="0"/>
    <x v="327"/>
  </r>
  <r>
    <x v="335"/>
    <x v="21"/>
    <x v="13"/>
    <x v="1"/>
    <x v="12"/>
    <x v="8"/>
    <x v="1"/>
    <x v="320"/>
    <x v="0"/>
    <x v="0"/>
    <x v="328"/>
  </r>
  <r>
    <x v="336"/>
    <x v="22"/>
    <x v="10"/>
    <x v="1"/>
    <x v="14"/>
    <x v="2"/>
    <x v="0"/>
    <x v="321"/>
    <x v="43"/>
    <x v="1"/>
    <x v="329"/>
  </r>
  <r>
    <x v="337"/>
    <x v="16"/>
    <x v="22"/>
    <x v="3"/>
    <x v="3"/>
    <x v="6"/>
    <x v="1"/>
    <x v="322"/>
    <x v="44"/>
    <x v="1"/>
    <x v="330"/>
  </r>
  <r>
    <x v="338"/>
    <x v="9"/>
    <x v="12"/>
    <x v="1"/>
    <x v="1"/>
    <x v="3"/>
    <x v="1"/>
    <x v="323"/>
    <x v="0"/>
    <x v="0"/>
    <x v="331"/>
  </r>
  <r>
    <x v="339"/>
    <x v="21"/>
    <x v="1"/>
    <x v="4"/>
    <x v="4"/>
    <x v="8"/>
    <x v="0"/>
    <x v="324"/>
    <x v="0"/>
    <x v="0"/>
    <x v="332"/>
  </r>
  <r>
    <x v="340"/>
    <x v="24"/>
    <x v="0"/>
    <x v="2"/>
    <x v="2"/>
    <x v="21"/>
    <x v="0"/>
    <x v="325"/>
    <x v="0"/>
    <x v="0"/>
    <x v="333"/>
  </r>
  <r>
    <x v="341"/>
    <x v="14"/>
    <x v="12"/>
    <x v="0"/>
    <x v="0"/>
    <x v="11"/>
    <x v="1"/>
    <x v="326"/>
    <x v="0"/>
    <x v="0"/>
    <x v="1"/>
  </r>
  <r>
    <x v="342"/>
    <x v="5"/>
    <x v="23"/>
    <x v="0"/>
    <x v="0"/>
    <x v="16"/>
    <x v="0"/>
    <x v="327"/>
    <x v="0"/>
    <x v="0"/>
    <x v="334"/>
  </r>
  <r>
    <x v="343"/>
    <x v="34"/>
    <x v="15"/>
    <x v="4"/>
    <x v="8"/>
    <x v="29"/>
    <x v="0"/>
    <x v="328"/>
    <x v="0"/>
    <x v="0"/>
    <x v="335"/>
  </r>
  <r>
    <x v="344"/>
    <x v="4"/>
    <x v="22"/>
    <x v="4"/>
    <x v="4"/>
    <x v="9"/>
    <x v="0"/>
    <x v="329"/>
    <x v="0"/>
    <x v="0"/>
    <x v="336"/>
  </r>
  <r>
    <x v="345"/>
    <x v="19"/>
    <x v="11"/>
    <x v="4"/>
    <x v="5"/>
    <x v="2"/>
    <x v="1"/>
    <x v="330"/>
    <x v="0"/>
    <x v="0"/>
    <x v="337"/>
  </r>
  <r>
    <x v="346"/>
    <x v="1"/>
    <x v="16"/>
    <x v="1"/>
    <x v="1"/>
    <x v="6"/>
    <x v="1"/>
    <x v="331"/>
    <x v="0"/>
    <x v="0"/>
    <x v="338"/>
  </r>
  <r>
    <x v="347"/>
    <x v="39"/>
    <x v="19"/>
    <x v="4"/>
    <x v="8"/>
    <x v="7"/>
    <x v="0"/>
    <x v="332"/>
    <x v="0"/>
    <x v="0"/>
    <x v="339"/>
  </r>
  <r>
    <x v="348"/>
    <x v="4"/>
    <x v="0"/>
    <x v="1"/>
    <x v="14"/>
    <x v="1"/>
    <x v="1"/>
    <x v="333"/>
    <x v="0"/>
    <x v="0"/>
    <x v="340"/>
  </r>
  <r>
    <x v="349"/>
    <x v="17"/>
    <x v="16"/>
    <x v="0"/>
    <x v="9"/>
    <x v="18"/>
    <x v="1"/>
    <x v="334"/>
    <x v="0"/>
    <x v="0"/>
    <x v="341"/>
  </r>
  <r>
    <x v="350"/>
    <x v="20"/>
    <x v="7"/>
    <x v="4"/>
    <x v="8"/>
    <x v="0"/>
    <x v="0"/>
    <x v="335"/>
    <x v="0"/>
    <x v="0"/>
    <x v="342"/>
  </r>
  <r>
    <x v="351"/>
    <x v="24"/>
    <x v="2"/>
    <x v="5"/>
    <x v="7"/>
    <x v="17"/>
    <x v="1"/>
    <x v="336"/>
    <x v="0"/>
    <x v="0"/>
    <x v="343"/>
  </r>
  <r>
    <x v="352"/>
    <x v="15"/>
    <x v="14"/>
    <x v="4"/>
    <x v="8"/>
    <x v="17"/>
    <x v="1"/>
    <x v="337"/>
    <x v="45"/>
    <x v="1"/>
    <x v="344"/>
  </r>
  <r>
    <x v="353"/>
    <x v="15"/>
    <x v="8"/>
    <x v="4"/>
    <x v="4"/>
    <x v="17"/>
    <x v="1"/>
    <x v="338"/>
    <x v="0"/>
    <x v="0"/>
    <x v="345"/>
  </r>
  <r>
    <x v="354"/>
    <x v="31"/>
    <x v="6"/>
    <x v="1"/>
    <x v="1"/>
    <x v="1"/>
    <x v="0"/>
    <x v="339"/>
    <x v="0"/>
    <x v="0"/>
    <x v="346"/>
  </r>
  <r>
    <x v="355"/>
    <x v="6"/>
    <x v="17"/>
    <x v="4"/>
    <x v="8"/>
    <x v="19"/>
    <x v="0"/>
    <x v="340"/>
    <x v="0"/>
    <x v="0"/>
    <x v="347"/>
  </r>
  <r>
    <x v="356"/>
    <x v="8"/>
    <x v="3"/>
    <x v="3"/>
    <x v="3"/>
    <x v="16"/>
    <x v="1"/>
    <x v="341"/>
    <x v="0"/>
    <x v="0"/>
    <x v="348"/>
  </r>
  <r>
    <x v="357"/>
    <x v="31"/>
    <x v="4"/>
    <x v="0"/>
    <x v="9"/>
    <x v="23"/>
    <x v="0"/>
    <x v="283"/>
    <x v="46"/>
    <x v="1"/>
    <x v="349"/>
  </r>
  <r>
    <x v="358"/>
    <x v="11"/>
    <x v="10"/>
    <x v="2"/>
    <x v="6"/>
    <x v="15"/>
    <x v="1"/>
    <x v="342"/>
    <x v="0"/>
    <x v="0"/>
    <x v="350"/>
  </r>
  <r>
    <x v="359"/>
    <x v="37"/>
    <x v="9"/>
    <x v="1"/>
    <x v="14"/>
    <x v="20"/>
    <x v="0"/>
    <x v="343"/>
    <x v="0"/>
    <x v="0"/>
    <x v="351"/>
  </r>
  <r>
    <x v="360"/>
    <x v="34"/>
    <x v="20"/>
    <x v="4"/>
    <x v="8"/>
    <x v="9"/>
    <x v="1"/>
    <x v="236"/>
    <x v="0"/>
    <x v="0"/>
    <x v="352"/>
  </r>
  <r>
    <x v="361"/>
    <x v="8"/>
    <x v="12"/>
    <x v="1"/>
    <x v="1"/>
    <x v="19"/>
    <x v="0"/>
    <x v="344"/>
    <x v="0"/>
    <x v="0"/>
    <x v="353"/>
  </r>
  <r>
    <x v="362"/>
    <x v="30"/>
    <x v="15"/>
    <x v="2"/>
    <x v="6"/>
    <x v="5"/>
    <x v="1"/>
    <x v="345"/>
    <x v="0"/>
    <x v="0"/>
    <x v="354"/>
  </r>
  <r>
    <x v="363"/>
    <x v="25"/>
    <x v="13"/>
    <x v="1"/>
    <x v="14"/>
    <x v="23"/>
    <x v="0"/>
    <x v="346"/>
    <x v="0"/>
    <x v="0"/>
    <x v="355"/>
  </r>
  <r>
    <x v="364"/>
    <x v="33"/>
    <x v="21"/>
    <x v="4"/>
    <x v="4"/>
    <x v="7"/>
    <x v="0"/>
    <x v="347"/>
    <x v="47"/>
    <x v="1"/>
    <x v="356"/>
  </r>
  <r>
    <x v="365"/>
    <x v="14"/>
    <x v="9"/>
    <x v="1"/>
    <x v="14"/>
    <x v="14"/>
    <x v="1"/>
    <x v="348"/>
    <x v="0"/>
    <x v="0"/>
    <x v="357"/>
  </r>
  <r>
    <x v="366"/>
    <x v="35"/>
    <x v="0"/>
    <x v="2"/>
    <x v="6"/>
    <x v="23"/>
    <x v="1"/>
    <x v="349"/>
    <x v="0"/>
    <x v="0"/>
    <x v="358"/>
  </r>
  <r>
    <x v="367"/>
    <x v="11"/>
    <x v="15"/>
    <x v="3"/>
    <x v="10"/>
    <x v="15"/>
    <x v="0"/>
    <x v="350"/>
    <x v="0"/>
    <x v="0"/>
    <x v="359"/>
  </r>
  <r>
    <x v="368"/>
    <x v="9"/>
    <x v="10"/>
    <x v="3"/>
    <x v="10"/>
    <x v="1"/>
    <x v="1"/>
    <x v="351"/>
    <x v="0"/>
    <x v="0"/>
    <x v="1"/>
  </r>
  <r>
    <x v="369"/>
    <x v="25"/>
    <x v="5"/>
    <x v="2"/>
    <x v="2"/>
    <x v="12"/>
    <x v="0"/>
    <x v="352"/>
    <x v="0"/>
    <x v="0"/>
    <x v="360"/>
  </r>
  <r>
    <x v="370"/>
    <x v="38"/>
    <x v="9"/>
    <x v="1"/>
    <x v="12"/>
    <x v="19"/>
    <x v="1"/>
    <x v="353"/>
    <x v="0"/>
    <x v="0"/>
    <x v="361"/>
  </r>
  <r>
    <x v="371"/>
    <x v="35"/>
    <x v="15"/>
    <x v="1"/>
    <x v="11"/>
    <x v="2"/>
    <x v="1"/>
    <x v="354"/>
    <x v="48"/>
    <x v="1"/>
    <x v="362"/>
  </r>
  <r>
    <x v="372"/>
    <x v="4"/>
    <x v="23"/>
    <x v="5"/>
    <x v="16"/>
    <x v="21"/>
    <x v="0"/>
    <x v="355"/>
    <x v="0"/>
    <x v="0"/>
    <x v="363"/>
  </r>
  <r>
    <x v="373"/>
    <x v="33"/>
    <x v="23"/>
    <x v="1"/>
    <x v="1"/>
    <x v="12"/>
    <x v="0"/>
    <x v="356"/>
    <x v="49"/>
    <x v="1"/>
    <x v="364"/>
  </r>
  <r>
    <x v="374"/>
    <x v="19"/>
    <x v="6"/>
    <x v="3"/>
    <x v="10"/>
    <x v="2"/>
    <x v="1"/>
    <x v="357"/>
    <x v="0"/>
    <x v="0"/>
    <x v="365"/>
  </r>
  <r>
    <x v="375"/>
    <x v="3"/>
    <x v="13"/>
    <x v="0"/>
    <x v="9"/>
    <x v="3"/>
    <x v="1"/>
    <x v="358"/>
    <x v="0"/>
    <x v="0"/>
    <x v="366"/>
  </r>
  <r>
    <x v="376"/>
    <x v="20"/>
    <x v="7"/>
    <x v="3"/>
    <x v="10"/>
    <x v="16"/>
    <x v="1"/>
    <x v="359"/>
    <x v="0"/>
    <x v="0"/>
    <x v="367"/>
  </r>
  <r>
    <x v="377"/>
    <x v="3"/>
    <x v="0"/>
    <x v="2"/>
    <x v="6"/>
    <x v="1"/>
    <x v="1"/>
    <x v="360"/>
    <x v="0"/>
    <x v="0"/>
    <x v="368"/>
  </r>
  <r>
    <x v="378"/>
    <x v="38"/>
    <x v="6"/>
    <x v="1"/>
    <x v="14"/>
    <x v="7"/>
    <x v="1"/>
    <x v="361"/>
    <x v="0"/>
    <x v="0"/>
    <x v="369"/>
  </r>
  <r>
    <x v="379"/>
    <x v="3"/>
    <x v="9"/>
    <x v="4"/>
    <x v="4"/>
    <x v="25"/>
    <x v="1"/>
    <x v="362"/>
    <x v="0"/>
    <x v="0"/>
    <x v="370"/>
  </r>
  <r>
    <x v="380"/>
    <x v="5"/>
    <x v="1"/>
    <x v="5"/>
    <x v="15"/>
    <x v="14"/>
    <x v="1"/>
    <x v="363"/>
    <x v="0"/>
    <x v="0"/>
    <x v="371"/>
  </r>
  <r>
    <x v="381"/>
    <x v="6"/>
    <x v="18"/>
    <x v="1"/>
    <x v="11"/>
    <x v="3"/>
    <x v="0"/>
    <x v="364"/>
    <x v="0"/>
    <x v="0"/>
    <x v="372"/>
  </r>
  <r>
    <x v="382"/>
    <x v="30"/>
    <x v="8"/>
    <x v="1"/>
    <x v="14"/>
    <x v="7"/>
    <x v="1"/>
    <x v="365"/>
    <x v="0"/>
    <x v="0"/>
    <x v="373"/>
  </r>
  <r>
    <x v="383"/>
    <x v="1"/>
    <x v="10"/>
    <x v="5"/>
    <x v="7"/>
    <x v="16"/>
    <x v="1"/>
    <x v="366"/>
    <x v="0"/>
    <x v="0"/>
    <x v="374"/>
  </r>
  <r>
    <x v="384"/>
    <x v="26"/>
    <x v="1"/>
    <x v="1"/>
    <x v="14"/>
    <x v="21"/>
    <x v="1"/>
    <x v="367"/>
    <x v="0"/>
    <x v="0"/>
    <x v="375"/>
  </r>
  <r>
    <x v="385"/>
    <x v="24"/>
    <x v="4"/>
    <x v="2"/>
    <x v="13"/>
    <x v="15"/>
    <x v="0"/>
    <x v="368"/>
    <x v="0"/>
    <x v="0"/>
    <x v="376"/>
  </r>
  <r>
    <x v="386"/>
    <x v="0"/>
    <x v="6"/>
    <x v="0"/>
    <x v="9"/>
    <x v="18"/>
    <x v="0"/>
    <x v="320"/>
    <x v="50"/>
    <x v="1"/>
    <x v="377"/>
  </r>
  <r>
    <x v="387"/>
    <x v="0"/>
    <x v="14"/>
    <x v="3"/>
    <x v="10"/>
    <x v="2"/>
    <x v="1"/>
    <x v="369"/>
    <x v="0"/>
    <x v="0"/>
    <x v="378"/>
  </r>
  <r>
    <x v="388"/>
    <x v="1"/>
    <x v="14"/>
    <x v="1"/>
    <x v="11"/>
    <x v="7"/>
    <x v="0"/>
    <x v="370"/>
    <x v="0"/>
    <x v="0"/>
    <x v="379"/>
  </r>
  <r>
    <x v="389"/>
    <x v="18"/>
    <x v="7"/>
    <x v="0"/>
    <x v="0"/>
    <x v="13"/>
    <x v="0"/>
    <x v="371"/>
    <x v="0"/>
    <x v="0"/>
    <x v="380"/>
  </r>
  <r>
    <x v="390"/>
    <x v="7"/>
    <x v="0"/>
    <x v="2"/>
    <x v="13"/>
    <x v="10"/>
    <x v="0"/>
    <x v="372"/>
    <x v="0"/>
    <x v="0"/>
    <x v="381"/>
  </r>
  <r>
    <x v="391"/>
    <x v="25"/>
    <x v="2"/>
    <x v="2"/>
    <x v="6"/>
    <x v="7"/>
    <x v="0"/>
    <x v="211"/>
    <x v="0"/>
    <x v="0"/>
    <x v="382"/>
  </r>
  <r>
    <x v="392"/>
    <x v="14"/>
    <x v="23"/>
    <x v="1"/>
    <x v="1"/>
    <x v="5"/>
    <x v="0"/>
    <x v="373"/>
    <x v="51"/>
    <x v="1"/>
    <x v="383"/>
  </r>
  <r>
    <x v="393"/>
    <x v="10"/>
    <x v="7"/>
    <x v="4"/>
    <x v="8"/>
    <x v="23"/>
    <x v="1"/>
    <x v="374"/>
    <x v="0"/>
    <x v="0"/>
    <x v="384"/>
  </r>
  <r>
    <x v="394"/>
    <x v="38"/>
    <x v="11"/>
    <x v="3"/>
    <x v="10"/>
    <x v="7"/>
    <x v="0"/>
    <x v="375"/>
    <x v="52"/>
    <x v="1"/>
    <x v="385"/>
  </r>
  <r>
    <x v="395"/>
    <x v="37"/>
    <x v="1"/>
    <x v="5"/>
    <x v="16"/>
    <x v="14"/>
    <x v="0"/>
    <x v="339"/>
    <x v="0"/>
    <x v="0"/>
    <x v="386"/>
  </r>
  <r>
    <x v="396"/>
    <x v="19"/>
    <x v="13"/>
    <x v="5"/>
    <x v="7"/>
    <x v="16"/>
    <x v="0"/>
    <x v="376"/>
    <x v="0"/>
    <x v="0"/>
    <x v="387"/>
  </r>
  <r>
    <x v="397"/>
    <x v="19"/>
    <x v="11"/>
    <x v="2"/>
    <x v="2"/>
    <x v="6"/>
    <x v="0"/>
    <x v="377"/>
    <x v="0"/>
    <x v="0"/>
    <x v="388"/>
  </r>
  <r>
    <x v="398"/>
    <x v="12"/>
    <x v="1"/>
    <x v="4"/>
    <x v="4"/>
    <x v="18"/>
    <x v="0"/>
    <x v="378"/>
    <x v="0"/>
    <x v="0"/>
    <x v="389"/>
  </r>
  <r>
    <x v="399"/>
    <x v="24"/>
    <x v="21"/>
    <x v="4"/>
    <x v="4"/>
    <x v="1"/>
    <x v="1"/>
    <x v="379"/>
    <x v="53"/>
    <x v="1"/>
    <x v="390"/>
  </r>
  <r>
    <x v="400"/>
    <x v="0"/>
    <x v="1"/>
    <x v="1"/>
    <x v="1"/>
    <x v="11"/>
    <x v="0"/>
    <x v="380"/>
    <x v="0"/>
    <x v="0"/>
    <x v="391"/>
  </r>
  <r>
    <x v="401"/>
    <x v="7"/>
    <x v="22"/>
    <x v="4"/>
    <x v="4"/>
    <x v="17"/>
    <x v="1"/>
    <x v="381"/>
    <x v="0"/>
    <x v="0"/>
    <x v="392"/>
  </r>
  <r>
    <x v="402"/>
    <x v="17"/>
    <x v="24"/>
    <x v="1"/>
    <x v="11"/>
    <x v="20"/>
    <x v="0"/>
    <x v="382"/>
    <x v="0"/>
    <x v="0"/>
    <x v="393"/>
  </r>
  <r>
    <x v="403"/>
    <x v="38"/>
    <x v="12"/>
    <x v="2"/>
    <x v="2"/>
    <x v="1"/>
    <x v="0"/>
    <x v="383"/>
    <x v="0"/>
    <x v="0"/>
    <x v="394"/>
  </r>
  <r>
    <x v="404"/>
    <x v="10"/>
    <x v="0"/>
    <x v="2"/>
    <x v="6"/>
    <x v="2"/>
    <x v="1"/>
    <x v="384"/>
    <x v="0"/>
    <x v="0"/>
    <x v="395"/>
  </r>
  <r>
    <x v="405"/>
    <x v="25"/>
    <x v="8"/>
    <x v="4"/>
    <x v="8"/>
    <x v="6"/>
    <x v="0"/>
    <x v="385"/>
    <x v="0"/>
    <x v="0"/>
    <x v="396"/>
  </r>
  <r>
    <x v="406"/>
    <x v="20"/>
    <x v="19"/>
    <x v="4"/>
    <x v="5"/>
    <x v="2"/>
    <x v="1"/>
    <x v="386"/>
    <x v="0"/>
    <x v="0"/>
    <x v="397"/>
  </r>
  <r>
    <x v="407"/>
    <x v="16"/>
    <x v="2"/>
    <x v="1"/>
    <x v="12"/>
    <x v="23"/>
    <x v="1"/>
    <x v="387"/>
    <x v="54"/>
    <x v="1"/>
    <x v="398"/>
  </r>
  <r>
    <x v="408"/>
    <x v="18"/>
    <x v="24"/>
    <x v="2"/>
    <x v="6"/>
    <x v="17"/>
    <x v="0"/>
    <x v="388"/>
    <x v="0"/>
    <x v="0"/>
    <x v="1"/>
  </r>
  <r>
    <x v="409"/>
    <x v="17"/>
    <x v="20"/>
    <x v="3"/>
    <x v="10"/>
    <x v="4"/>
    <x v="0"/>
    <x v="389"/>
    <x v="0"/>
    <x v="0"/>
    <x v="399"/>
  </r>
  <r>
    <x v="410"/>
    <x v="9"/>
    <x v="0"/>
    <x v="3"/>
    <x v="3"/>
    <x v="10"/>
    <x v="0"/>
    <x v="390"/>
    <x v="0"/>
    <x v="0"/>
    <x v="400"/>
  </r>
  <r>
    <x v="411"/>
    <x v="37"/>
    <x v="8"/>
    <x v="2"/>
    <x v="6"/>
    <x v="8"/>
    <x v="1"/>
    <x v="391"/>
    <x v="0"/>
    <x v="0"/>
    <x v="401"/>
  </r>
  <r>
    <x v="412"/>
    <x v="18"/>
    <x v="7"/>
    <x v="5"/>
    <x v="15"/>
    <x v="17"/>
    <x v="1"/>
    <x v="392"/>
    <x v="0"/>
    <x v="0"/>
    <x v="1"/>
  </r>
  <r>
    <x v="413"/>
    <x v="38"/>
    <x v="6"/>
    <x v="4"/>
    <x v="8"/>
    <x v="4"/>
    <x v="0"/>
    <x v="393"/>
    <x v="0"/>
    <x v="0"/>
    <x v="402"/>
  </r>
  <r>
    <x v="414"/>
    <x v="28"/>
    <x v="19"/>
    <x v="2"/>
    <x v="6"/>
    <x v="1"/>
    <x v="0"/>
    <x v="394"/>
    <x v="0"/>
    <x v="0"/>
    <x v="403"/>
  </r>
  <r>
    <x v="415"/>
    <x v="19"/>
    <x v="0"/>
    <x v="1"/>
    <x v="11"/>
    <x v="8"/>
    <x v="0"/>
    <x v="395"/>
    <x v="0"/>
    <x v="0"/>
    <x v="404"/>
  </r>
  <r>
    <x v="416"/>
    <x v="12"/>
    <x v="1"/>
    <x v="3"/>
    <x v="10"/>
    <x v="1"/>
    <x v="0"/>
    <x v="396"/>
    <x v="0"/>
    <x v="0"/>
    <x v="405"/>
  </r>
  <r>
    <x v="417"/>
    <x v="22"/>
    <x v="24"/>
    <x v="3"/>
    <x v="10"/>
    <x v="17"/>
    <x v="0"/>
    <x v="397"/>
    <x v="0"/>
    <x v="0"/>
    <x v="406"/>
  </r>
  <r>
    <x v="418"/>
    <x v="24"/>
    <x v="17"/>
    <x v="4"/>
    <x v="5"/>
    <x v="0"/>
    <x v="0"/>
    <x v="398"/>
    <x v="0"/>
    <x v="0"/>
    <x v="407"/>
  </r>
  <r>
    <x v="419"/>
    <x v="22"/>
    <x v="10"/>
    <x v="0"/>
    <x v="0"/>
    <x v="20"/>
    <x v="1"/>
    <x v="399"/>
    <x v="0"/>
    <x v="0"/>
    <x v="408"/>
  </r>
  <r>
    <x v="420"/>
    <x v="5"/>
    <x v="23"/>
    <x v="1"/>
    <x v="1"/>
    <x v="7"/>
    <x v="0"/>
    <x v="400"/>
    <x v="0"/>
    <x v="0"/>
    <x v="1"/>
  </r>
  <r>
    <x v="421"/>
    <x v="16"/>
    <x v="14"/>
    <x v="2"/>
    <x v="13"/>
    <x v="18"/>
    <x v="0"/>
    <x v="401"/>
    <x v="0"/>
    <x v="0"/>
    <x v="409"/>
  </r>
  <r>
    <x v="422"/>
    <x v="35"/>
    <x v="2"/>
    <x v="2"/>
    <x v="2"/>
    <x v="6"/>
    <x v="1"/>
    <x v="402"/>
    <x v="0"/>
    <x v="0"/>
    <x v="410"/>
  </r>
  <r>
    <x v="423"/>
    <x v="21"/>
    <x v="18"/>
    <x v="2"/>
    <x v="13"/>
    <x v="16"/>
    <x v="0"/>
    <x v="403"/>
    <x v="0"/>
    <x v="0"/>
    <x v="411"/>
  </r>
  <r>
    <x v="424"/>
    <x v="1"/>
    <x v="6"/>
    <x v="2"/>
    <x v="13"/>
    <x v="21"/>
    <x v="0"/>
    <x v="404"/>
    <x v="0"/>
    <x v="0"/>
    <x v="412"/>
  </r>
  <r>
    <x v="425"/>
    <x v="14"/>
    <x v="16"/>
    <x v="3"/>
    <x v="10"/>
    <x v="10"/>
    <x v="0"/>
    <x v="321"/>
    <x v="0"/>
    <x v="0"/>
    <x v="413"/>
  </r>
  <r>
    <x v="426"/>
    <x v="35"/>
    <x v="5"/>
    <x v="4"/>
    <x v="5"/>
    <x v="4"/>
    <x v="1"/>
    <x v="405"/>
    <x v="0"/>
    <x v="0"/>
    <x v="414"/>
  </r>
  <r>
    <x v="427"/>
    <x v="18"/>
    <x v="22"/>
    <x v="5"/>
    <x v="16"/>
    <x v="10"/>
    <x v="1"/>
    <x v="406"/>
    <x v="0"/>
    <x v="0"/>
    <x v="415"/>
  </r>
  <r>
    <x v="428"/>
    <x v="37"/>
    <x v="14"/>
    <x v="3"/>
    <x v="10"/>
    <x v="21"/>
    <x v="0"/>
    <x v="407"/>
    <x v="0"/>
    <x v="0"/>
    <x v="416"/>
  </r>
  <r>
    <x v="429"/>
    <x v="28"/>
    <x v="4"/>
    <x v="2"/>
    <x v="2"/>
    <x v="20"/>
    <x v="0"/>
    <x v="408"/>
    <x v="0"/>
    <x v="0"/>
    <x v="417"/>
  </r>
  <r>
    <x v="430"/>
    <x v="27"/>
    <x v="8"/>
    <x v="1"/>
    <x v="1"/>
    <x v="3"/>
    <x v="0"/>
    <x v="409"/>
    <x v="0"/>
    <x v="0"/>
    <x v="418"/>
  </r>
  <r>
    <x v="431"/>
    <x v="0"/>
    <x v="4"/>
    <x v="3"/>
    <x v="3"/>
    <x v="24"/>
    <x v="0"/>
    <x v="410"/>
    <x v="0"/>
    <x v="0"/>
    <x v="419"/>
  </r>
  <r>
    <x v="432"/>
    <x v="8"/>
    <x v="17"/>
    <x v="3"/>
    <x v="10"/>
    <x v="9"/>
    <x v="0"/>
    <x v="411"/>
    <x v="0"/>
    <x v="0"/>
    <x v="420"/>
  </r>
  <r>
    <x v="433"/>
    <x v="29"/>
    <x v="21"/>
    <x v="1"/>
    <x v="11"/>
    <x v="29"/>
    <x v="0"/>
    <x v="412"/>
    <x v="55"/>
    <x v="1"/>
    <x v="421"/>
  </r>
  <r>
    <x v="434"/>
    <x v="18"/>
    <x v="23"/>
    <x v="2"/>
    <x v="6"/>
    <x v="18"/>
    <x v="1"/>
    <x v="413"/>
    <x v="0"/>
    <x v="0"/>
    <x v="422"/>
  </r>
  <r>
    <x v="435"/>
    <x v="1"/>
    <x v="23"/>
    <x v="4"/>
    <x v="5"/>
    <x v="29"/>
    <x v="1"/>
    <x v="229"/>
    <x v="0"/>
    <x v="0"/>
    <x v="423"/>
  </r>
  <r>
    <x v="436"/>
    <x v="13"/>
    <x v="4"/>
    <x v="1"/>
    <x v="14"/>
    <x v="10"/>
    <x v="0"/>
    <x v="414"/>
    <x v="0"/>
    <x v="0"/>
    <x v="424"/>
  </r>
  <r>
    <x v="437"/>
    <x v="1"/>
    <x v="16"/>
    <x v="0"/>
    <x v="0"/>
    <x v="13"/>
    <x v="1"/>
    <x v="415"/>
    <x v="0"/>
    <x v="0"/>
    <x v="425"/>
  </r>
  <r>
    <x v="438"/>
    <x v="30"/>
    <x v="8"/>
    <x v="4"/>
    <x v="8"/>
    <x v="17"/>
    <x v="1"/>
    <x v="416"/>
    <x v="0"/>
    <x v="0"/>
    <x v="426"/>
  </r>
  <r>
    <x v="439"/>
    <x v="29"/>
    <x v="18"/>
    <x v="4"/>
    <x v="8"/>
    <x v="3"/>
    <x v="1"/>
    <x v="417"/>
    <x v="0"/>
    <x v="0"/>
    <x v="427"/>
  </r>
  <r>
    <x v="440"/>
    <x v="29"/>
    <x v="21"/>
    <x v="1"/>
    <x v="11"/>
    <x v="3"/>
    <x v="0"/>
    <x v="418"/>
    <x v="0"/>
    <x v="0"/>
    <x v="428"/>
  </r>
  <r>
    <x v="441"/>
    <x v="25"/>
    <x v="15"/>
    <x v="4"/>
    <x v="5"/>
    <x v="9"/>
    <x v="0"/>
    <x v="419"/>
    <x v="0"/>
    <x v="0"/>
    <x v="429"/>
  </r>
  <r>
    <x v="442"/>
    <x v="35"/>
    <x v="5"/>
    <x v="3"/>
    <x v="10"/>
    <x v="23"/>
    <x v="1"/>
    <x v="284"/>
    <x v="0"/>
    <x v="0"/>
    <x v="430"/>
  </r>
  <r>
    <x v="443"/>
    <x v="37"/>
    <x v="1"/>
    <x v="2"/>
    <x v="2"/>
    <x v="19"/>
    <x v="1"/>
    <x v="420"/>
    <x v="56"/>
    <x v="1"/>
    <x v="1"/>
  </r>
  <r>
    <x v="444"/>
    <x v="36"/>
    <x v="19"/>
    <x v="0"/>
    <x v="0"/>
    <x v="7"/>
    <x v="0"/>
    <x v="421"/>
    <x v="0"/>
    <x v="0"/>
    <x v="431"/>
  </r>
  <r>
    <x v="445"/>
    <x v="3"/>
    <x v="11"/>
    <x v="2"/>
    <x v="6"/>
    <x v="19"/>
    <x v="0"/>
    <x v="422"/>
    <x v="0"/>
    <x v="0"/>
    <x v="432"/>
  </r>
  <r>
    <x v="446"/>
    <x v="2"/>
    <x v="18"/>
    <x v="2"/>
    <x v="2"/>
    <x v="2"/>
    <x v="0"/>
    <x v="423"/>
    <x v="0"/>
    <x v="0"/>
    <x v="433"/>
  </r>
  <r>
    <x v="447"/>
    <x v="19"/>
    <x v="1"/>
    <x v="4"/>
    <x v="4"/>
    <x v="23"/>
    <x v="1"/>
    <x v="47"/>
    <x v="0"/>
    <x v="0"/>
    <x v="434"/>
  </r>
  <r>
    <x v="448"/>
    <x v="31"/>
    <x v="8"/>
    <x v="1"/>
    <x v="14"/>
    <x v="7"/>
    <x v="1"/>
    <x v="424"/>
    <x v="0"/>
    <x v="0"/>
    <x v="435"/>
  </r>
  <r>
    <x v="449"/>
    <x v="22"/>
    <x v="7"/>
    <x v="1"/>
    <x v="1"/>
    <x v="19"/>
    <x v="1"/>
    <x v="425"/>
    <x v="57"/>
    <x v="1"/>
    <x v="436"/>
  </r>
  <r>
    <x v="450"/>
    <x v="3"/>
    <x v="17"/>
    <x v="1"/>
    <x v="11"/>
    <x v="3"/>
    <x v="1"/>
    <x v="426"/>
    <x v="0"/>
    <x v="0"/>
    <x v="437"/>
  </r>
  <r>
    <x v="451"/>
    <x v="22"/>
    <x v="13"/>
    <x v="2"/>
    <x v="13"/>
    <x v="13"/>
    <x v="1"/>
    <x v="427"/>
    <x v="0"/>
    <x v="0"/>
    <x v="438"/>
  </r>
  <r>
    <x v="452"/>
    <x v="10"/>
    <x v="6"/>
    <x v="2"/>
    <x v="2"/>
    <x v="2"/>
    <x v="0"/>
    <x v="428"/>
    <x v="0"/>
    <x v="0"/>
    <x v="439"/>
  </r>
  <r>
    <x v="453"/>
    <x v="5"/>
    <x v="23"/>
    <x v="5"/>
    <x v="15"/>
    <x v="14"/>
    <x v="0"/>
    <x v="429"/>
    <x v="58"/>
    <x v="1"/>
    <x v="440"/>
  </r>
  <r>
    <x v="454"/>
    <x v="1"/>
    <x v="21"/>
    <x v="1"/>
    <x v="14"/>
    <x v="5"/>
    <x v="0"/>
    <x v="430"/>
    <x v="0"/>
    <x v="0"/>
    <x v="441"/>
  </r>
  <r>
    <x v="455"/>
    <x v="26"/>
    <x v="21"/>
    <x v="4"/>
    <x v="8"/>
    <x v="23"/>
    <x v="1"/>
    <x v="431"/>
    <x v="0"/>
    <x v="0"/>
    <x v="442"/>
  </r>
  <r>
    <x v="456"/>
    <x v="17"/>
    <x v="18"/>
    <x v="4"/>
    <x v="5"/>
    <x v="19"/>
    <x v="1"/>
    <x v="432"/>
    <x v="0"/>
    <x v="0"/>
    <x v="443"/>
  </r>
  <r>
    <x v="457"/>
    <x v="6"/>
    <x v="8"/>
    <x v="2"/>
    <x v="6"/>
    <x v="19"/>
    <x v="0"/>
    <x v="433"/>
    <x v="0"/>
    <x v="0"/>
    <x v="444"/>
  </r>
  <r>
    <x v="458"/>
    <x v="24"/>
    <x v="20"/>
    <x v="3"/>
    <x v="3"/>
    <x v="7"/>
    <x v="0"/>
    <x v="434"/>
    <x v="0"/>
    <x v="0"/>
    <x v="445"/>
  </r>
  <r>
    <x v="459"/>
    <x v="32"/>
    <x v="12"/>
    <x v="4"/>
    <x v="5"/>
    <x v="0"/>
    <x v="0"/>
    <x v="435"/>
    <x v="0"/>
    <x v="0"/>
    <x v="446"/>
  </r>
  <r>
    <x v="460"/>
    <x v="15"/>
    <x v="13"/>
    <x v="4"/>
    <x v="5"/>
    <x v="6"/>
    <x v="0"/>
    <x v="436"/>
    <x v="0"/>
    <x v="0"/>
    <x v="447"/>
  </r>
  <r>
    <x v="461"/>
    <x v="33"/>
    <x v="13"/>
    <x v="4"/>
    <x v="5"/>
    <x v="13"/>
    <x v="1"/>
    <x v="246"/>
    <x v="0"/>
    <x v="0"/>
    <x v="448"/>
  </r>
  <r>
    <x v="462"/>
    <x v="30"/>
    <x v="20"/>
    <x v="3"/>
    <x v="3"/>
    <x v="16"/>
    <x v="0"/>
    <x v="437"/>
    <x v="0"/>
    <x v="0"/>
    <x v="449"/>
  </r>
  <r>
    <x v="463"/>
    <x v="15"/>
    <x v="21"/>
    <x v="5"/>
    <x v="16"/>
    <x v="29"/>
    <x v="0"/>
    <x v="438"/>
    <x v="0"/>
    <x v="0"/>
    <x v="450"/>
  </r>
  <r>
    <x v="464"/>
    <x v="16"/>
    <x v="17"/>
    <x v="4"/>
    <x v="4"/>
    <x v="6"/>
    <x v="1"/>
    <x v="439"/>
    <x v="0"/>
    <x v="0"/>
    <x v="451"/>
  </r>
  <r>
    <x v="465"/>
    <x v="35"/>
    <x v="2"/>
    <x v="3"/>
    <x v="3"/>
    <x v="1"/>
    <x v="0"/>
    <x v="440"/>
    <x v="41"/>
    <x v="1"/>
    <x v="452"/>
  </r>
  <r>
    <x v="466"/>
    <x v="17"/>
    <x v="13"/>
    <x v="5"/>
    <x v="16"/>
    <x v="9"/>
    <x v="0"/>
    <x v="441"/>
    <x v="0"/>
    <x v="0"/>
    <x v="453"/>
  </r>
  <r>
    <x v="467"/>
    <x v="18"/>
    <x v="5"/>
    <x v="3"/>
    <x v="10"/>
    <x v="19"/>
    <x v="0"/>
    <x v="442"/>
    <x v="0"/>
    <x v="0"/>
    <x v="454"/>
  </r>
  <r>
    <x v="468"/>
    <x v="35"/>
    <x v="2"/>
    <x v="1"/>
    <x v="11"/>
    <x v="9"/>
    <x v="0"/>
    <x v="443"/>
    <x v="0"/>
    <x v="0"/>
    <x v="455"/>
  </r>
  <r>
    <x v="469"/>
    <x v="17"/>
    <x v="22"/>
    <x v="1"/>
    <x v="11"/>
    <x v="2"/>
    <x v="1"/>
    <x v="444"/>
    <x v="0"/>
    <x v="0"/>
    <x v="456"/>
  </r>
  <r>
    <x v="470"/>
    <x v="6"/>
    <x v="8"/>
    <x v="2"/>
    <x v="13"/>
    <x v="12"/>
    <x v="1"/>
    <x v="445"/>
    <x v="0"/>
    <x v="0"/>
    <x v="457"/>
  </r>
  <r>
    <x v="471"/>
    <x v="6"/>
    <x v="12"/>
    <x v="4"/>
    <x v="4"/>
    <x v="20"/>
    <x v="1"/>
    <x v="446"/>
    <x v="0"/>
    <x v="0"/>
    <x v="458"/>
  </r>
  <r>
    <x v="472"/>
    <x v="25"/>
    <x v="13"/>
    <x v="3"/>
    <x v="10"/>
    <x v="2"/>
    <x v="0"/>
    <x v="447"/>
    <x v="59"/>
    <x v="1"/>
    <x v="459"/>
  </r>
  <r>
    <x v="473"/>
    <x v="21"/>
    <x v="22"/>
    <x v="4"/>
    <x v="4"/>
    <x v="4"/>
    <x v="1"/>
    <x v="372"/>
    <x v="0"/>
    <x v="0"/>
    <x v="460"/>
  </r>
  <r>
    <x v="474"/>
    <x v="16"/>
    <x v="17"/>
    <x v="5"/>
    <x v="15"/>
    <x v="14"/>
    <x v="0"/>
    <x v="448"/>
    <x v="0"/>
    <x v="0"/>
    <x v="461"/>
  </r>
  <r>
    <x v="475"/>
    <x v="30"/>
    <x v="23"/>
    <x v="5"/>
    <x v="7"/>
    <x v="23"/>
    <x v="1"/>
    <x v="449"/>
    <x v="0"/>
    <x v="0"/>
    <x v="1"/>
  </r>
  <r>
    <x v="476"/>
    <x v="11"/>
    <x v="23"/>
    <x v="1"/>
    <x v="12"/>
    <x v="2"/>
    <x v="0"/>
    <x v="450"/>
    <x v="0"/>
    <x v="0"/>
    <x v="462"/>
  </r>
  <r>
    <x v="477"/>
    <x v="23"/>
    <x v="8"/>
    <x v="1"/>
    <x v="12"/>
    <x v="8"/>
    <x v="0"/>
    <x v="451"/>
    <x v="0"/>
    <x v="0"/>
    <x v="463"/>
  </r>
  <r>
    <x v="478"/>
    <x v="22"/>
    <x v="17"/>
    <x v="1"/>
    <x v="11"/>
    <x v="28"/>
    <x v="1"/>
    <x v="452"/>
    <x v="0"/>
    <x v="0"/>
    <x v="464"/>
  </r>
  <r>
    <x v="479"/>
    <x v="20"/>
    <x v="11"/>
    <x v="5"/>
    <x v="7"/>
    <x v="7"/>
    <x v="0"/>
    <x v="453"/>
    <x v="0"/>
    <x v="0"/>
    <x v="465"/>
  </r>
  <r>
    <x v="480"/>
    <x v="0"/>
    <x v="13"/>
    <x v="1"/>
    <x v="11"/>
    <x v="10"/>
    <x v="1"/>
    <x v="454"/>
    <x v="0"/>
    <x v="0"/>
    <x v="466"/>
  </r>
  <r>
    <x v="481"/>
    <x v="27"/>
    <x v="16"/>
    <x v="0"/>
    <x v="0"/>
    <x v="5"/>
    <x v="1"/>
    <x v="455"/>
    <x v="0"/>
    <x v="0"/>
    <x v="467"/>
  </r>
  <r>
    <x v="482"/>
    <x v="25"/>
    <x v="14"/>
    <x v="1"/>
    <x v="12"/>
    <x v="9"/>
    <x v="1"/>
    <x v="456"/>
    <x v="0"/>
    <x v="0"/>
    <x v="468"/>
  </r>
  <r>
    <x v="483"/>
    <x v="18"/>
    <x v="9"/>
    <x v="3"/>
    <x v="3"/>
    <x v="23"/>
    <x v="0"/>
    <x v="457"/>
    <x v="0"/>
    <x v="0"/>
    <x v="469"/>
  </r>
  <r>
    <x v="484"/>
    <x v="17"/>
    <x v="23"/>
    <x v="0"/>
    <x v="9"/>
    <x v="7"/>
    <x v="0"/>
    <x v="458"/>
    <x v="0"/>
    <x v="0"/>
    <x v="470"/>
  </r>
  <r>
    <x v="485"/>
    <x v="20"/>
    <x v="4"/>
    <x v="1"/>
    <x v="1"/>
    <x v="1"/>
    <x v="1"/>
    <x v="459"/>
    <x v="0"/>
    <x v="0"/>
    <x v="471"/>
  </r>
  <r>
    <x v="486"/>
    <x v="4"/>
    <x v="10"/>
    <x v="4"/>
    <x v="8"/>
    <x v="2"/>
    <x v="0"/>
    <x v="460"/>
    <x v="60"/>
    <x v="1"/>
    <x v="472"/>
  </r>
  <r>
    <x v="487"/>
    <x v="21"/>
    <x v="21"/>
    <x v="4"/>
    <x v="4"/>
    <x v="19"/>
    <x v="0"/>
    <x v="265"/>
    <x v="0"/>
    <x v="0"/>
    <x v="473"/>
  </r>
  <r>
    <x v="488"/>
    <x v="0"/>
    <x v="6"/>
    <x v="2"/>
    <x v="6"/>
    <x v="23"/>
    <x v="0"/>
    <x v="461"/>
    <x v="0"/>
    <x v="0"/>
    <x v="474"/>
  </r>
  <r>
    <x v="489"/>
    <x v="13"/>
    <x v="5"/>
    <x v="4"/>
    <x v="8"/>
    <x v="18"/>
    <x v="0"/>
    <x v="462"/>
    <x v="0"/>
    <x v="0"/>
    <x v="475"/>
  </r>
  <r>
    <x v="490"/>
    <x v="32"/>
    <x v="6"/>
    <x v="1"/>
    <x v="1"/>
    <x v="0"/>
    <x v="0"/>
    <x v="463"/>
    <x v="0"/>
    <x v="0"/>
    <x v="476"/>
  </r>
  <r>
    <x v="491"/>
    <x v="23"/>
    <x v="19"/>
    <x v="4"/>
    <x v="4"/>
    <x v="17"/>
    <x v="0"/>
    <x v="464"/>
    <x v="61"/>
    <x v="1"/>
    <x v="477"/>
  </r>
  <r>
    <x v="492"/>
    <x v="9"/>
    <x v="4"/>
    <x v="3"/>
    <x v="10"/>
    <x v="17"/>
    <x v="0"/>
    <x v="71"/>
    <x v="0"/>
    <x v="0"/>
    <x v="478"/>
  </r>
  <r>
    <x v="493"/>
    <x v="31"/>
    <x v="23"/>
    <x v="4"/>
    <x v="8"/>
    <x v="10"/>
    <x v="0"/>
    <x v="397"/>
    <x v="0"/>
    <x v="0"/>
    <x v="479"/>
  </r>
  <r>
    <x v="494"/>
    <x v="2"/>
    <x v="15"/>
    <x v="5"/>
    <x v="16"/>
    <x v="1"/>
    <x v="0"/>
    <x v="465"/>
    <x v="62"/>
    <x v="1"/>
    <x v="480"/>
  </r>
  <r>
    <x v="495"/>
    <x v="37"/>
    <x v="19"/>
    <x v="4"/>
    <x v="4"/>
    <x v="2"/>
    <x v="0"/>
    <x v="79"/>
    <x v="0"/>
    <x v="0"/>
    <x v="481"/>
  </r>
  <r>
    <x v="496"/>
    <x v="18"/>
    <x v="1"/>
    <x v="4"/>
    <x v="4"/>
    <x v="10"/>
    <x v="1"/>
    <x v="466"/>
    <x v="63"/>
    <x v="1"/>
    <x v="482"/>
  </r>
  <r>
    <x v="497"/>
    <x v="7"/>
    <x v="13"/>
    <x v="3"/>
    <x v="10"/>
    <x v="12"/>
    <x v="1"/>
    <x v="467"/>
    <x v="0"/>
    <x v="0"/>
    <x v="483"/>
  </r>
  <r>
    <x v="498"/>
    <x v="34"/>
    <x v="16"/>
    <x v="4"/>
    <x v="4"/>
    <x v="14"/>
    <x v="0"/>
    <x v="468"/>
    <x v="0"/>
    <x v="0"/>
    <x v="484"/>
  </r>
  <r>
    <x v="499"/>
    <x v="39"/>
    <x v="19"/>
    <x v="5"/>
    <x v="16"/>
    <x v="11"/>
    <x v="1"/>
    <x v="469"/>
    <x v="0"/>
    <x v="0"/>
    <x v="485"/>
  </r>
  <r>
    <x v="500"/>
    <x v="32"/>
    <x v="8"/>
    <x v="4"/>
    <x v="5"/>
    <x v="29"/>
    <x v="1"/>
    <x v="470"/>
    <x v="0"/>
    <x v="0"/>
    <x v="486"/>
  </r>
  <r>
    <x v="501"/>
    <x v="26"/>
    <x v="6"/>
    <x v="4"/>
    <x v="8"/>
    <x v="11"/>
    <x v="1"/>
    <x v="332"/>
    <x v="0"/>
    <x v="0"/>
    <x v="487"/>
  </r>
  <r>
    <x v="502"/>
    <x v="27"/>
    <x v="21"/>
    <x v="1"/>
    <x v="14"/>
    <x v="6"/>
    <x v="1"/>
    <x v="471"/>
    <x v="64"/>
    <x v="1"/>
    <x v="488"/>
  </r>
  <r>
    <x v="503"/>
    <x v="26"/>
    <x v="22"/>
    <x v="4"/>
    <x v="5"/>
    <x v="19"/>
    <x v="0"/>
    <x v="472"/>
    <x v="0"/>
    <x v="0"/>
    <x v="489"/>
  </r>
  <r>
    <x v="504"/>
    <x v="31"/>
    <x v="12"/>
    <x v="0"/>
    <x v="9"/>
    <x v="21"/>
    <x v="0"/>
    <x v="473"/>
    <x v="0"/>
    <x v="0"/>
    <x v="490"/>
  </r>
  <r>
    <x v="505"/>
    <x v="11"/>
    <x v="2"/>
    <x v="2"/>
    <x v="13"/>
    <x v="12"/>
    <x v="1"/>
    <x v="474"/>
    <x v="0"/>
    <x v="0"/>
    <x v="491"/>
  </r>
  <r>
    <x v="506"/>
    <x v="4"/>
    <x v="7"/>
    <x v="3"/>
    <x v="3"/>
    <x v="8"/>
    <x v="1"/>
    <x v="475"/>
    <x v="0"/>
    <x v="0"/>
    <x v="492"/>
  </r>
  <r>
    <x v="507"/>
    <x v="3"/>
    <x v="22"/>
    <x v="4"/>
    <x v="8"/>
    <x v="16"/>
    <x v="1"/>
    <x v="476"/>
    <x v="0"/>
    <x v="0"/>
    <x v="493"/>
  </r>
  <r>
    <x v="508"/>
    <x v="30"/>
    <x v="1"/>
    <x v="1"/>
    <x v="1"/>
    <x v="3"/>
    <x v="0"/>
    <x v="445"/>
    <x v="0"/>
    <x v="0"/>
    <x v="494"/>
  </r>
  <r>
    <x v="509"/>
    <x v="7"/>
    <x v="23"/>
    <x v="4"/>
    <x v="4"/>
    <x v="20"/>
    <x v="0"/>
    <x v="477"/>
    <x v="0"/>
    <x v="0"/>
    <x v="495"/>
  </r>
  <r>
    <x v="510"/>
    <x v="2"/>
    <x v="24"/>
    <x v="3"/>
    <x v="10"/>
    <x v="9"/>
    <x v="0"/>
    <x v="478"/>
    <x v="0"/>
    <x v="0"/>
    <x v="496"/>
  </r>
  <r>
    <x v="511"/>
    <x v="24"/>
    <x v="20"/>
    <x v="1"/>
    <x v="1"/>
    <x v="7"/>
    <x v="0"/>
    <x v="479"/>
    <x v="0"/>
    <x v="0"/>
    <x v="497"/>
  </r>
  <r>
    <x v="512"/>
    <x v="4"/>
    <x v="1"/>
    <x v="5"/>
    <x v="7"/>
    <x v="9"/>
    <x v="1"/>
    <x v="480"/>
    <x v="0"/>
    <x v="0"/>
    <x v="498"/>
  </r>
  <r>
    <x v="513"/>
    <x v="24"/>
    <x v="2"/>
    <x v="3"/>
    <x v="10"/>
    <x v="17"/>
    <x v="0"/>
    <x v="481"/>
    <x v="0"/>
    <x v="0"/>
    <x v="499"/>
  </r>
  <r>
    <x v="514"/>
    <x v="26"/>
    <x v="15"/>
    <x v="1"/>
    <x v="11"/>
    <x v="4"/>
    <x v="0"/>
    <x v="152"/>
    <x v="0"/>
    <x v="0"/>
    <x v="500"/>
  </r>
  <r>
    <x v="515"/>
    <x v="24"/>
    <x v="15"/>
    <x v="1"/>
    <x v="11"/>
    <x v="6"/>
    <x v="1"/>
    <x v="482"/>
    <x v="0"/>
    <x v="0"/>
    <x v="501"/>
  </r>
  <r>
    <x v="516"/>
    <x v="28"/>
    <x v="8"/>
    <x v="4"/>
    <x v="4"/>
    <x v="17"/>
    <x v="0"/>
    <x v="483"/>
    <x v="0"/>
    <x v="0"/>
    <x v="502"/>
  </r>
  <r>
    <x v="517"/>
    <x v="15"/>
    <x v="0"/>
    <x v="2"/>
    <x v="2"/>
    <x v="17"/>
    <x v="1"/>
    <x v="484"/>
    <x v="0"/>
    <x v="0"/>
    <x v="503"/>
  </r>
  <r>
    <x v="518"/>
    <x v="6"/>
    <x v="19"/>
    <x v="1"/>
    <x v="12"/>
    <x v="31"/>
    <x v="0"/>
    <x v="485"/>
    <x v="65"/>
    <x v="1"/>
    <x v="504"/>
  </r>
  <r>
    <x v="519"/>
    <x v="36"/>
    <x v="8"/>
    <x v="1"/>
    <x v="14"/>
    <x v="12"/>
    <x v="0"/>
    <x v="486"/>
    <x v="0"/>
    <x v="0"/>
    <x v="505"/>
  </r>
  <r>
    <x v="520"/>
    <x v="10"/>
    <x v="6"/>
    <x v="0"/>
    <x v="9"/>
    <x v="7"/>
    <x v="0"/>
    <x v="283"/>
    <x v="0"/>
    <x v="0"/>
    <x v="506"/>
  </r>
  <r>
    <x v="521"/>
    <x v="34"/>
    <x v="13"/>
    <x v="3"/>
    <x v="3"/>
    <x v="29"/>
    <x v="0"/>
    <x v="487"/>
    <x v="0"/>
    <x v="0"/>
    <x v="507"/>
  </r>
  <r>
    <x v="522"/>
    <x v="34"/>
    <x v="17"/>
    <x v="1"/>
    <x v="11"/>
    <x v="20"/>
    <x v="0"/>
    <x v="488"/>
    <x v="0"/>
    <x v="0"/>
    <x v="508"/>
  </r>
  <r>
    <x v="523"/>
    <x v="33"/>
    <x v="13"/>
    <x v="3"/>
    <x v="3"/>
    <x v="12"/>
    <x v="0"/>
    <x v="489"/>
    <x v="66"/>
    <x v="1"/>
    <x v="509"/>
  </r>
  <r>
    <x v="524"/>
    <x v="22"/>
    <x v="9"/>
    <x v="1"/>
    <x v="11"/>
    <x v="9"/>
    <x v="1"/>
    <x v="182"/>
    <x v="0"/>
    <x v="0"/>
    <x v="510"/>
  </r>
  <r>
    <x v="525"/>
    <x v="36"/>
    <x v="15"/>
    <x v="2"/>
    <x v="6"/>
    <x v="10"/>
    <x v="0"/>
    <x v="490"/>
    <x v="0"/>
    <x v="0"/>
    <x v="511"/>
  </r>
  <r>
    <x v="526"/>
    <x v="2"/>
    <x v="20"/>
    <x v="3"/>
    <x v="3"/>
    <x v="4"/>
    <x v="1"/>
    <x v="491"/>
    <x v="0"/>
    <x v="0"/>
    <x v="512"/>
  </r>
  <r>
    <x v="527"/>
    <x v="0"/>
    <x v="20"/>
    <x v="4"/>
    <x v="8"/>
    <x v="10"/>
    <x v="1"/>
    <x v="492"/>
    <x v="0"/>
    <x v="0"/>
    <x v="513"/>
  </r>
  <r>
    <x v="528"/>
    <x v="3"/>
    <x v="21"/>
    <x v="1"/>
    <x v="14"/>
    <x v="1"/>
    <x v="1"/>
    <x v="493"/>
    <x v="0"/>
    <x v="0"/>
    <x v="514"/>
  </r>
  <r>
    <x v="529"/>
    <x v="31"/>
    <x v="2"/>
    <x v="5"/>
    <x v="16"/>
    <x v="18"/>
    <x v="0"/>
    <x v="494"/>
    <x v="0"/>
    <x v="0"/>
    <x v="515"/>
  </r>
  <r>
    <x v="530"/>
    <x v="21"/>
    <x v="5"/>
    <x v="4"/>
    <x v="8"/>
    <x v="8"/>
    <x v="0"/>
    <x v="495"/>
    <x v="0"/>
    <x v="0"/>
    <x v="516"/>
  </r>
  <r>
    <x v="531"/>
    <x v="37"/>
    <x v="10"/>
    <x v="2"/>
    <x v="13"/>
    <x v="7"/>
    <x v="0"/>
    <x v="496"/>
    <x v="0"/>
    <x v="0"/>
    <x v="517"/>
  </r>
  <r>
    <x v="532"/>
    <x v="38"/>
    <x v="1"/>
    <x v="4"/>
    <x v="4"/>
    <x v="7"/>
    <x v="1"/>
    <x v="497"/>
    <x v="0"/>
    <x v="0"/>
    <x v="518"/>
  </r>
  <r>
    <x v="533"/>
    <x v="21"/>
    <x v="14"/>
    <x v="3"/>
    <x v="3"/>
    <x v="10"/>
    <x v="1"/>
    <x v="498"/>
    <x v="0"/>
    <x v="0"/>
    <x v="519"/>
  </r>
  <r>
    <x v="534"/>
    <x v="26"/>
    <x v="18"/>
    <x v="1"/>
    <x v="14"/>
    <x v="4"/>
    <x v="0"/>
    <x v="499"/>
    <x v="0"/>
    <x v="0"/>
    <x v="520"/>
  </r>
  <r>
    <x v="535"/>
    <x v="38"/>
    <x v="8"/>
    <x v="4"/>
    <x v="8"/>
    <x v="7"/>
    <x v="1"/>
    <x v="173"/>
    <x v="67"/>
    <x v="1"/>
    <x v="521"/>
  </r>
  <r>
    <x v="536"/>
    <x v="11"/>
    <x v="5"/>
    <x v="1"/>
    <x v="1"/>
    <x v="0"/>
    <x v="0"/>
    <x v="500"/>
    <x v="0"/>
    <x v="0"/>
    <x v="522"/>
  </r>
  <r>
    <x v="537"/>
    <x v="28"/>
    <x v="12"/>
    <x v="1"/>
    <x v="12"/>
    <x v="23"/>
    <x v="0"/>
    <x v="501"/>
    <x v="68"/>
    <x v="1"/>
    <x v="523"/>
  </r>
  <r>
    <x v="538"/>
    <x v="24"/>
    <x v="19"/>
    <x v="5"/>
    <x v="15"/>
    <x v="19"/>
    <x v="0"/>
    <x v="502"/>
    <x v="0"/>
    <x v="0"/>
    <x v="524"/>
  </r>
  <r>
    <x v="539"/>
    <x v="0"/>
    <x v="22"/>
    <x v="4"/>
    <x v="4"/>
    <x v="20"/>
    <x v="0"/>
    <x v="503"/>
    <x v="0"/>
    <x v="0"/>
    <x v="525"/>
  </r>
  <r>
    <x v="540"/>
    <x v="12"/>
    <x v="3"/>
    <x v="0"/>
    <x v="0"/>
    <x v="7"/>
    <x v="0"/>
    <x v="504"/>
    <x v="69"/>
    <x v="1"/>
    <x v="526"/>
  </r>
  <r>
    <x v="541"/>
    <x v="37"/>
    <x v="8"/>
    <x v="1"/>
    <x v="11"/>
    <x v="20"/>
    <x v="1"/>
    <x v="505"/>
    <x v="0"/>
    <x v="0"/>
    <x v="527"/>
  </r>
  <r>
    <x v="542"/>
    <x v="24"/>
    <x v="23"/>
    <x v="1"/>
    <x v="1"/>
    <x v="21"/>
    <x v="1"/>
    <x v="506"/>
    <x v="0"/>
    <x v="0"/>
    <x v="528"/>
  </r>
  <r>
    <x v="543"/>
    <x v="18"/>
    <x v="1"/>
    <x v="2"/>
    <x v="13"/>
    <x v="19"/>
    <x v="0"/>
    <x v="507"/>
    <x v="0"/>
    <x v="0"/>
    <x v="529"/>
  </r>
  <r>
    <x v="544"/>
    <x v="34"/>
    <x v="7"/>
    <x v="5"/>
    <x v="15"/>
    <x v="1"/>
    <x v="1"/>
    <x v="508"/>
    <x v="0"/>
    <x v="0"/>
    <x v="530"/>
  </r>
  <r>
    <x v="545"/>
    <x v="5"/>
    <x v="16"/>
    <x v="1"/>
    <x v="14"/>
    <x v="10"/>
    <x v="0"/>
    <x v="509"/>
    <x v="0"/>
    <x v="0"/>
    <x v="531"/>
  </r>
  <r>
    <x v="546"/>
    <x v="17"/>
    <x v="8"/>
    <x v="1"/>
    <x v="11"/>
    <x v="14"/>
    <x v="0"/>
    <x v="510"/>
    <x v="0"/>
    <x v="0"/>
    <x v="532"/>
  </r>
  <r>
    <x v="547"/>
    <x v="0"/>
    <x v="5"/>
    <x v="5"/>
    <x v="15"/>
    <x v="10"/>
    <x v="1"/>
    <x v="511"/>
    <x v="0"/>
    <x v="0"/>
    <x v="533"/>
  </r>
  <r>
    <x v="548"/>
    <x v="26"/>
    <x v="1"/>
    <x v="2"/>
    <x v="2"/>
    <x v="17"/>
    <x v="0"/>
    <x v="59"/>
    <x v="0"/>
    <x v="0"/>
    <x v="534"/>
  </r>
  <r>
    <x v="549"/>
    <x v="39"/>
    <x v="7"/>
    <x v="1"/>
    <x v="11"/>
    <x v="23"/>
    <x v="0"/>
    <x v="93"/>
    <x v="0"/>
    <x v="0"/>
    <x v="535"/>
  </r>
  <r>
    <x v="550"/>
    <x v="28"/>
    <x v="22"/>
    <x v="1"/>
    <x v="1"/>
    <x v="7"/>
    <x v="1"/>
    <x v="382"/>
    <x v="0"/>
    <x v="0"/>
    <x v="536"/>
  </r>
  <r>
    <x v="551"/>
    <x v="33"/>
    <x v="14"/>
    <x v="1"/>
    <x v="14"/>
    <x v="23"/>
    <x v="0"/>
    <x v="512"/>
    <x v="0"/>
    <x v="0"/>
    <x v="537"/>
  </r>
  <r>
    <x v="552"/>
    <x v="15"/>
    <x v="17"/>
    <x v="5"/>
    <x v="15"/>
    <x v="3"/>
    <x v="0"/>
    <x v="513"/>
    <x v="70"/>
    <x v="1"/>
    <x v="538"/>
  </r>
  <r>
    <x v="553"/>
    <x v="11"/>
    <x v="8"/>
    <x v="1"/>
    <x v="12"/>
    <x v="16"/>
    <x v="0"/>
    <x v="155"/>
    <x v="71"/>
    <x v="1"/>
    <x v="539"/>
  </r>
  <r>
    <x v="554"/>
    <x v="39"/>
    <x v="24"/>
    <x v="5"/>
    <x v="7"/>
    <x v="0"/>
    <x v="0"/>
    <x v="401"/>
    <x v="72"/>
    <x v="1"/>
    <x v="540"/>
  </r>
  <r>
    <x v="555"/>
    <x v="0"/>
    <x v="10"/>
    <x v="2"/>
    <x v="6"/>
    <x v="12"/>
    <x v="1"/>
    <x v="514"/>
    <x v="73"/>
    <x v="1"/>
    <x v="541"/>
  </r>
  <r>
    <x v="556"/>
    <x v="38"/>
    <x v="20"/>
    <x v="4"/>
    <x v="8"/>
    <x v="25"/>
    <x v="1"/>
    <x v="515"/>
    <x v="0"/>
    <x v="0"/>
    <x v="542"/>
  </r>
  <r>
    <x v="557"/>
    <x v="1"/>
    <x v="12"/>
    <x v="4"/>
    <x v="5"/>
    <x v="20"/>
    <x v="0"/>
    <x v="516"/>
    <x v="0"/>
    <x v="0"/>
    <x v="543"/>
  </r>
  <r>
    <x v="558"/>
    <x v="7"/>
    <x v="6"/>
    <x v="2"/>
    <x v="6"/>
    <x v="11"/>
    <x v="0"/>
    <x v="517"/>
    <x v="0"/>
    <x v="0"/>
    <x v="544"/>
  </r>
  <r>
    <x v="559"/>
    <x v="33"/>
    <x v="10"/>
    <x v="4"/>
    <x v="8"/>
    <x v="5"/>
    <x v="0"/>
    <x v="518"/>
    <x v="0"/>
    <x v="0"/>
    <x v="545"/>
  </r>
  <r>
    <x v="560"/>
    <x v="25"/>
    <x v="7"/>
    <x v="5"/>
    <x v="16"/>
    <x v="11"/>
    <x v="0"/>
    <x v="519"/>
    <x v="0"/>
    <x v="0"/>
    <x v="546"/>
  </r>
  <r>
    <x v="561"/>
    <x v="13"/>
    <x v="6"/>
    <x v="2"/>
    <x v="6"/>
    <x v="4"/>
    <x v="0"/>
    <x v="520"/>
    <x v="0"/>
    <x v="0"/>
    <x v="547"/>
  </r>
  <r>
    <x v="562"/>
    <x v="24"/>
    <x v="21"/>
    <x v="2"/>
    <x v="6"/>
    <x v="31"/>
    <x v="1"/>
    <x v="452"/>
    <x v="74"/>
    <x v="1"/>
    <x v="1"/>
  </r>
  <r>
    <x v="563"/>
    <x v="9"/>
    <x v="12"/>
    <x v="2"/>
    <x v="2"/>
    <x v="3"/>
    <x v="1"/>
    <x v="521"/>
    <x v="0"/>
    <x v="0"/>
    <x v="548"/>
  </r>
  <r>
    <x v="564"/>
    <x v="32"/>
    <x v="0"/>
    <x v="4"/>
    <x v="5"/>
    <x v="12"/>
    <x v="0"/>
    <x v="522"/>
    <x v="0"/>
    <x v="0"/>
    <x v="549"/>
  </r>
  <r>
    <x v="565"/>
    <x v="22"/>
    <x v="15"/>
    <x v="0"/>
    <x v="0"/>
    <x v="4"/>
    <x v="1"/>
    <x v="523"/>
    <x v="0"/>
    <x v="0"/>
    <x v="550"/>
  </r>
  <r>
    <x v="566"/>
    <x v="12"/>
    <x v="23"/>
    <x v="4"/>
    <x v="5"/>
    <x v="12"/>
    <x v="1"/>
    <x v="524"/>
    <x v="0"/>
    <x v="0"/>
    <x v="551"/>
  </r>
  <r>
    <x v="567"/>
    <x v="3"/>
    <x v="1"/>
    <x v="2"/>
    <x v="2"/>
    <x v="1"/>
    <x v="1"/>
    <x v="482"/>
    <x v="0"/>
    <x v="0"/>
    <x v="552"/>
  </r>
  <r>
    <x v="568"/>
    <x v="7"/>
    <x v="1"/>
    <x v="1"/>
    <x v="1"/>
    <x v="1"/>
    <x v="0"/>
    <x v="525"/>
    <x v="0"/>
    <x v="0"/>
    <x v="553"/>
  </r>
  <r>
    <x v="569"/>
    <x v="8"/>
    <x v="6"/>
    <x v="0"/>
    <x v="0"/>
    <x v="1"/>
    <x v="1"/>
    <x v="526"/>
    <x v="0"/>
    <x v="0"/>
    <x v="554"/>
  </r>
  <r>
    <x v="570"/>
    <x v="8"/>
    <x v="2"/>
    <x v="5"/>
    <x v="15"/>
    <x v="8"/>
    <x v="1"/>
    <x v="527"/>
    <x v="75"/>
    <x v="1"/>
    <x v="555"/>
  </r>
  <r>
    <x v="571"/>
    <x v="28"/>
    <x v="16"/>
    <x v="0"/>
    <x v="0"/>
    <x v="17"/>
    <x v="0"/>
    <x v="528"/>
    <x v="0"/>
    <x v="0"/>
    <x v="556"/>
  </r>
  <r>
    <x v="572"/>
    <x v="13"/>
    <x v="20"/>
    <x v="4"/>
    <x v="8"/>
    <x v="20"/>
    <x v="1"/>
    <x v="529"/>
    <x v="0"/>
    <x v="0"/>
    <x v="557"/>
  </r>
  <r>
    <x v="573"/>
    <x v="27"/>
    <x v="21"/>
    <x v="5"/>
    <x v="7"/>
    <x v="12"/>
    <x v="0"/>
    <x v="530"/>
    <x v="0"/>
    <x v="0"/>
    <x v="558"/>
  </r>
  <r>
    <x v="574"/>
    <x v="31"/>
    <x v="23"/>
    <x v="3"/>
    <x v="3"/>
    <x v="1"/>
    <x v="0"/>
    <x v="531"/>
    <x v="0"/>
    <x v="0"/>
    <x v="559"/>
  </r>
  <r>
    <x v="575"/>
    <x v="14"/>
    <x v="14"/>
    <x v="4"/>
    <x v="8"/>
    <x v="24"/>
    <x v="0"/>
    <x v="532"/>
    <x v="76"/>
    <x v="1"/>
    <x v="560"/>
  </r>
  <r>
    <x v="576"/>
    <x v="25"/>
    <x v="8"/>
    <x v="2"/>
    <x v="2"/>
    <x v="11"/>
    <x v="1"/>
    <x v="533"/>
    <x v="77"/>
    <x v="1"/>
    <x v="561"/>
  </r>
  <r>
    <x v="577"/>
    <x v="14"/>
    <x v="22"/>
    <x v="0"/>
    <x v="9"/>
    <x v="19"/>
    <x v="0"/>
    <x v="534"/>
    <x v="0"/>
    <x v="0"/>
    <x v="562"/>
  </r>
  <r>
    <x v="578"/>
    <x v="19"/>
    <x v="9"/>
    <x v="2"/>
    <x v="6"/>
    <x v="10"/>
    <x v="0"/>
    <x v="535"/>
    <x v="78"/>
    <x v="1"/>
    <x v="563"/>
  </r>
  <r>
    <x v="579"/>
    <x v="28"/>
    <x v="24"/>
    <x v="2"/>
    <x v="13"/>
    <x v="7"/>
    <x v="0"/>
    <x v="536"/>
    <x v="0"/>
    <x v="0"/>
    <x v="564"/>
  </r>
  <r>
    <x v="580"/>
    <x v="28"/>
    <x v="20"/>
    <x v="1"/>
    <x v="11"/>
    <x v="27"/>
    <x v="1"/>
    <x v="362"/>
    <x v="0"/>
    <x v="0"/>
    <x v="565"/>
  </r>
  <r>
    <x v="581"/>
    <x v="14"/>
    <x v="9"/>
    <x v="5"/>
    <x v="16"/>
    <x v="9"/>
    <x v="0"/>
    <x v="156"/>
    <x v="0"/>
    <x v="0"/>
    <x v="566"/>
  </r>
  <r>
    <x v="582"/>
    <x v="7"/>
    <x v="4"/>
    <x v="4"/>
    <x v="4"/>
    <x v="17"/>
    <x v="1"/>
    <x v="537"/>
    <x v="0"/>
    <x v="0"/>
    <x v="567"/>
  </r>
  <r>
    <x v="583"/>
    <x v="21"/>
    <x v="2"/>
    <x v="1"/>
    <x v="12"/>
    <x v="8"/>
    <x v="1"/>
    <x v="355"/>
    <x v="79"/>
    <x v="1"/>
    <x v="568"/>
  </r>
  <r>
    <x v="584"/>
    <x v="21"/>
    <x v="18"/>
    <x v="1"/>
    <x v="1"/>
    <x v="7"/>
    <x v="0"/>
    <x v="538"/>
    <x v="80"/>
    <x v="1"/>
    <x v="386"/>
  </r>
  <r>
    <x v="585"/>
    <x v="11"/>
    <x v="18"/>
    <x v="1"/>
    <x v="1"/>
    <x v="2"/>
    <x v="1"/>
    <x v="539"/>
    <x v="81"/>
    <x v="1"/>
    <x v="569"/>
  </r>
  <r>
    <x v="586"/>
    <x v="33"/>
    <x v="24"/>
    <x v="2"/>
    <x v="2"/>
    <x v="10"/>
    <x v="0"/>
    <x v="540"/>
    <x v="0"/>
    <x v="0"/>
    <x v="570"/>
  </r>
  <r>
    <x v="587"/>
    <x v="32"/>
    <x v="7"/>
    <x v="5"/>
    <x v="7"/>
    <x v="12"/>
    <x v="0"/>
    <x v="541"/>
    <x v="82"/>
    <x v="1"/>
    <x v="571"/>
  </r>
  <r>
    <x v="588"/>
    <x v="26"/>
    <x v="14"/>
    <x v="0"/>
    <x v="0"/>
    <x v="10"/>
    <x v="0"/>
    <x v="542"/>
    <x v="0"/>
    <x v="0"/>
    <x v="572"/>
  </r>
  <r>
    <x v="589"/>
    <x v="16"/>
    <x v="24"/>
    <x v="2"/>
    <x v="2"/>
    <x v="11"/>
    <x v="0"/>
    <x v="543"/>
    <x v="21"/>
    <x v="1"/>
    <x v="573"/>
  </r>
  <r>
    <x v="590"/>
    <x v="1"/>
    <x v="19"/>
    <x v="1"/>
    <x v="14"/>
    <x v="21"/>
    <x v="1"/>
    <x v="104"/>
    <x v="0"/>
    <x v="0"/>
    <x v="574"/>
  </r>
  <r>
    <x v="591"/>
    <x v="8"/>
    <x v="1"/>
    <x v="2"/>
    <x v="13"/>
    <x v="20"/>
    <x v="0"/>
    <x v="544"/>
    <x v="0"/>
    <x v="0"/>
    <x v="575"/>
  </r>
  <r>
    <x v="592"/>
    <x v="35"/>
    <x v="1"/>
    <x v="5"/>
    <x v="16"/>
    <x v="7"/>
    <x v="1"/>
    <x v="545"/>
    <x v="0"/>
    <x v="0"/>
    <x v="576"/>
  </r>
  <r>
    <x v="593"/>
    <x v="39"/>
    <x v="5"/>
    <x v="3"/>
    <x v="10"/>
    <x v="21"/>
    <x v="1"/>
    <x v="546"/>
    <x v="0"/>
    <x v="0"/>
    <x v="577"/>
  </r>
  <r>
    <x v="594"/>
    <x v="0"/>
    <x v="19"/>
    <x v="1"/>
    <x v="14"/>
    <x v="2"/>
    <x v="0"/>
    <x v="547"/>
    <x v="0"/>
    <x v="0"/>
    <x v="578"/>
  </r>
  <r>
    <x v="595"/>
    <x v="28"/>
    <x v="19"/>
    <x v="3"/>
    <x v="10"/>
    <x v="0"/>
    <x v="0"/>
    <x v="548"/>
    <x v="0"/>
    <x v="0"/>
    <x v="579"/>
  </r>
  <r>
    <x v="596"/>
    <x v="4"/>
    <x v="8"/>
    <x v="1"/>
    <x v="1"/>
    <x v="12"/>
    <x v="1"/>
    <x v="549"/>
    <x v="83"/>
    <x v="1"/>
    <x v="1"/>
  </r>
  <r>
    <x v="597"/>
    <x v="19"/>
    <x v="21"/>
    <x v="2"/>
    <x v="6"/>
    <x v="20"/>
    <x v="0"/>
    <x v="550"/>
    <x v="84"/>
    <x v="1"/>
    <x v="580"/>
  </r>
  <r>
    <x v="598"/>
    <x v="27"/>
    <x v="1"/>
    <x v="1"/>
    <x v="12"/>
    <x v="9"/>
    <x v="0"/>
    <x v="551"/>
    <x v="0"/>
    <x v="0"/>
    <x v="581"/>
  </r>
  <r>
    <x v="599"/>
    <x v="27"/>
    <x v="12"/>
    <x v="5"/>
    <x v="15"/>
    <x v="3"/>
    <x v="1"/>
    <x v="552"/>
    <x v="0"/>
    <x v="0"/>
    <x v="582"/>
  </r>
  <r>
    <x v="600"/>
    <x v="15"/>
    <x v="9"/>
    <x v="4"/>
    <x v="4"/>
    <x v="20"/>
    <x v="0"/>
    <x v="553"/>
    <x v="0"/>
    <x v="0"/>
    <x v="583"/>
  </r>
  <r>
    <x v="601"/>
    <x v="20"/>
    <x v="16"/>
    <x v="2"/>
    <x v="2"/>
    <x v="23"/>
    <x v="0"/>
    <x v="554"/>
    <x v="0"/>
    <x v="0"/>
    <x v="584"/>
  </r>
  <r>
    <x v="602"/>
    <x v="35"/>
    <x v="19"/>
    <x v="2"/>
    <x v="2"/>
    <x v="12"/>
    <x v="1"/>
    <x v="555"/>
    <x v="0"/>
    <x v="0"/>
    <x v="585"/>
  </r>
  <r>
    <x v="603"/>
    <x v="4"/>
    <x v="11"/>
    <x v="1"/>
    <x v="12"/>
    <x v="8"/>
    <x v="1"/>
    <x v="556"/>
    <x v="85"/>
    <x v="1"/>
    <x v="586"/>
  </r>
  <r>
    <x v="604"/>
    <x v="18"/>
    <x v="8"/>
    <x v="2"/>
    <x v="13"/>
    <x v="5"/>
    <x v="0"/>
    <x v="557"/>
    <x v="0"/>
    <x v="0"/>
    <x v="587"/>
  </r>
  <r>
    <x v="605"/>
    <x v="24"/>
    <x v="13"/>
    <x v="1"/>
    <x v="14"/>
    <x v="3"/>
    <x v="1"/>
    <x v="558"/>
    <x v="0"/>
    <x v="0"/>
    <x v="588"/>
  </r>
  <r>
    <x v="606"/>
    <x v="0"/>
    <x v="23"/>
    <x v="3"/>
    <x v="3"/>
    <x v="2"/>
    <x v="0"/>
    <x v="559"/>
    <x v="0"/>
    <x v="0"/>
    <x v="589"/>
  </r>
  <r>
    <x v="607"/>
    <x v="39"/>
    <x v="5"/>
    <x v="3"/>
    <x v="3"/>
    <x v="22"/>
    <x v="1"/>
    <x v="560"/>
    <x v="0"/>
    <x v="0"/>
    <x v="590"/>
  </r>
  <r>
    <x v="608"/>
    <x v="30"/>
    <x v="8"/>
    <x v="4"/>
    <x v="8"/>
    <x v="16"/>
    <x v="1"/>
    <x v="499"/>
    <x v="0"/>
    <x v="0"/>
    <x v="591"/>
  </r>
  <r>
    <x v="609"/>
    <x v="39"/>
    <x v="12"/>
    <x v="5"/>
    <x v="15"/>
    <x v="0"/>
    <x v="0"/>
    <x v="381"/>
    <x v="0"/>
    <x v="0"/>
    <x v="592"/>
  </r>
  <r>
    <x v="610"/>
    <x v="7"/>
    <x v="14"/>
    <x v="4"/>
    <x v="5"/>
    <x v="1"/>
    <x v="0"/>
    <x v="561"/>
    <x v="0"/>
    <x v="0"/>
    <x v="593"/>
  </r>
  <r>
    <x v="611"/>
    <x v="15"/>
    <x v="19"/>
    <x v="1"/>
    <x v="12"/>
    <x v="33"/>
    <x v="0"/>
    <x v="37"/>
    <x v="86"/>
    <x v="1"/>
    <x v="594"/>
  </r>
  <r>
    <x v="612"/>
    <x v="9"/>
    <x v="18"/>
    <x v="1"/>
    <x v="12"/>
    <x v="23"/>
    <x v="0"/>
    <x v="105"/>
    <x v="0"/>
    <x v="0"/>
    <x v="595"/>
  </r>
  <r>
    <x v="613"/>
    <x v="9"/>
    <x v="20"/>
    <x v="3"/>
    <x v="3"/>
    <x v="14"/>
    <x v="0"/>
    <x v="562"/>
    <x v="0"/>
    <x v="0"/>
    <x v="596"/>
  </r>
  <r>
    <x v="614"/>
    <x v="39"/>
    <x v="22"/>
    <x v="2"/>
    <x v="6"/>
    <x v="12"/>
    <x v="1"/>
    <x v="563"/>
    <x v="0"/>
    <x v="0"/>
    <x v="597"/>
  </r>
  <r>
    <x v="615"/>
    <x v="24"/>
    <x v="12"/>
    <x v="5"/>
    <x v="7"/>
    <x v="7"/>
    <x v="0"/>
    <x v="564"/>
    <x v="0"/>
    <x v="0"/>
    <x v="598"/>
  </r>
  <r>
    <x v="616"/>
    <x v="22"/>
    <x v="6"/>
    <x v="4"/>
    <x v="8"/>
    <x v="6"/>
    <x v="0"/>
    <x v="565"/>
    <x v="0"/>
    <x v="0"/>
    <x v="599"/>
  </r>
  <r>
    <x v="617"/>
    <x v="25"/>
    <x v="20"/>
    <x v="3"/>
    <x v="3"/>
    <x v="0"/>
    <x v="0"/>
    <x v="566"/>
    <x v="0"/>
    <x v="0"/>
    <x v="600"/>
  </r>
  <r>
    <x v="618"/>
    <x v="1"/>
    <x v="13"/>
    <x v="4"/>
    <x v="5"/>
    <x v="0"/>
    <x v="0"/>
    <x v="567"/>
    <x v="0"/>
    <x v="0"/>
    <x v="601"/>
  </r>
  <r>
    <x v="619"/>
    <x v="13"/>
    <x v="17"/>
    <x v="5"/>
    <x v="7"/>
    <x v="17"/>
    <x v="0"/>
    <x v="568"/>
    <x v="0"/>
    <x v="0"/>
    <x v="602"/>
  </r>
  <r>
    <x v="394"/>
    <x v="38"/>
    <x v="11"/>
    <x v="3"/>
    <x v="10"/>
    <x v="17"/>
    <x v="0"/>
    <x v="375"/>
    <x v="52"/>
    <x v="1"/>
    <x v="385"/>
  </r>
  <r>
    <x v="620"/>
    <x v="19"/>
    <x v="10"/>
    <x v="5"/>
    <x v="15"/>
    <x v="2"/>
    <x v="0"/>
    <x v="569"/>
    <x v="87"/>
    <x v="1"/>
    <x v="603"/>
  </r>
  <r>
    <x v="621"/>
    <x v="34"/>
    <x v="22"/>
    <x v="3"/>
    <x v="3"/>
    <x v="18"/>
    <x v="0"/>
    <x v="570"/>
    <x v="88"/>
    <x v="1"/>
    <x v="604"/>
  </r>
  <r>
    <x v="622"/>
    <x v="28"/>
    <x v="2"/>
    <x v="4"/>
    <x v="5"/>
    <x v="26"/>
    <x v="1"/>
    <x v="571"/>
    <x v="0"/>
    <x v="0"/>
    <x v="605"/>
  </r>
  <r>
    <x v="623"/>
    <x v="5"/>
    <x v="20"/>
    <x v="2"/>
    <x v="2"/>
    <x v="18"/>
    <x v="1"/>
    <x v="572"/>
    <x v="0"/>
    <x v="0"/>
    <x v="606"/>
  </r>
  <r>
    <x v="624"/>
    <x v="0"/>
    <x v="1"/>
    <x v="4"/>
    <x v="5"/>
    <x v="21"/>
    <x v="0"/>
    <x v="573"/>
    <x v="0"/>
    <x v="0"/>
    <x v="607"/>
  </r>
  <r>
    <x v="625"/>
    <x v="19"/>
    <x v="10"/>
    <x v="5"/>
    <x v="7"/>
    <x v="10"/>
    <x v="1"/>
    <x v="402"/>
    <x v="0"/>
    <x v="0"/>
    <x v="608"/>
  </r>
  <r>
    <x v="626"/>
    <x v="8"/>
    <x v="18"/>
    <x v="5"/>
    <x v="15"/>
    <x v="23"/>
    <x v="0"/>
    <x v="574"/>
    <x v="0"/>
    <x v="0"/>
    <x v="609"/>
  </r>
  <r>
    <x v="627"/>
    <x v="26"/>
    <x v="7"/>
    <x v="2"/>
    <x v="6"/>
    <x v="17"/>
    <x v="0"/>
    <x v="575"/>
    <x v="0"/>
    <x v="0"/>
    <x v="610"/>
  </r>
  <r>
    <x v="628"/>
    <x v="6"/>
    <x v="23"/>
    <x v="2"/>
    <x v="2"/>
    <x v="7"/>
    <x v="1"/>
    <x v="576"/>
    <x v="0"/>
    <x v="0"/>
    <x v="611"/>
  </r>
  <r>
    <x v="629"/>
    <x v="22"/>
    <x v="1"/>
    <x v="1"/>
    <x v="1"/>
    <x v="3"/>
    <x v="0"/>
    <x v="334"/>
    <x v="0"/>
    <x v="0"/>
    <x v="612"/>
  </r>
  <r>
    <x v="630"/>
    <x v="33"/>
    <x v="5"/>
    <x v="1"/>
    <x v="11"/>
    <x v="17"/>
    <x v="1"/>
    <x v="577"/>
    <x v="0"/>
    <x v="0"/>
    <x v="1"/>
  </r>
  <r>
    <x v="631"/>
    <x v="30"/>
    <x v="17"/>
    <x v="4"/>
    <x v="5"/>
    <x v="2"/>
    <x v="0"/>
    <x v="578"/>
    <x v="0"/>
    <x v="0"/>
    <x v="613"/>
  </r>
  <r>
    <x v="632"/>
    <x v="28"/>
    <x v="19"/>
    <x v="2"/>
    <x v="13"/>
    <x v="29"/>
    <x v="0"/>
    <x v="579"/>
    <x v="0"/>
    <x v="0"/>
    <x v="614"/>
  </r>
  <r>
    <x v="633"/>
    <x v="2"/>
    <x v="5"/>
    <x v="4"/>
    <x v="5"/>
    <x v="11"/>
    <x v="1"/>
    <x v="580"/>
    <x v="0"/>
    <x v="0"/>
    <x v="615"/>
  </r>
  <r>
    <x v="634"/>
    <x v="17"/>
    <x v="15"/>
    <x v="1"/>
    <x v="11"/>
    <x v="11"/>
    <x v="0"/>
    <x v="581"/>
    <x v="0"/>
    <x v="0"/>
    <x v="616"/>
  </r>
  <r>
    <x v="635"/>
    <x v="33"/>
    <x v="19"/>
    <x v="2"/>
    <x v="6"/>
    <x v="10"/>
    <x v="0"/>
    <x v="582"/>
    <x v="0"/>
    <x v="0"/>
    <x v="617"/>
  </r>
  <r>
    <x v="636"/>
    <x v="18"/>
    <x v="2"/>
    <x v="4"/>
    <x v="5"/>
    <x v="16"/>
    <x v="0"/>
    <x v="583"/>
    <x v="0"/>
    <x v="0"/>
    <x v="618"/>
  </r>
  <r>
    <x v="637"/>
    <x v="12"/>
    <x v="10"/>
    <x v="3"/>
    <x v="10"/>
    <x v="6"/>
    <x v="1"/>
    <x v="584"/>
    <x v="0"/>
    <x v="0"/>
    <x v="619"/>
  </r>
  <r>
    <x v="638"/>
    <x v="24"/>
    <x v="7"/>
    <x v="0"/>
    <x v="0"/>
    <x v="9"/>
    <x v="0"/>
    <x v="75"/>
    <x v="0"/>
    <x v="0"/>
    <x v="620"/>
  </r>
  <r>
    <x v="639"/>
    <x v="7"/>
    <x v="8"/>
    <x v="5"/>
    <x v="7"/>
    <x v="3"/>
    <x v="0"/>
    <x v="585"/>
    <x v="0"/>
    <x v="0"/>
    <x v="621"/>
  </r>
  <r>
    <x v="640"/>
    <x v="39"/>
    <x v="0"/>
    <x v="4"/>
    <x v="4"/>
    <x v="7"/>
    <x v="0"/>
    <x v="586"/>
    <x v="0"/>
    <x v="0"/>
    <x v="622"/>
  </r>
  <r>
    <x v="641"/>
    <x v="37"/>
    <x v="16"/>
    <x v="5"/>
    <x v="7"/>
    <x v="6"/>
    <x v="1"/>
    <x v="587"/>
    <x v="0"/>
    <x v="0"/>
    <x v="623"/>
  </r>
  <r>
    <x v="642"/>
    <x v="0"/>
    <x v="4"/>
    <x v="3"/>
    <x v="3"/>
    <x v="2"/>
    <x v="0"/>
    <x v="588"/>
    <x v="0"/>
    <x v="0"/>
    <x v="624"/>
  </r>
  <r>
    <x v="643"/>
    <x v="21"/>
    <x v="1"/>
    <x v="4"/>
    <x v="8"/>
    <x v="21"/>
    <x v="1"/>
    <x v="589"/>
    <x v="0"/>
    <x v="0"/>
    <x v="625"/>
  </r>
  <r>
    <x v="644"/>
    <x v="4"/>
    <x v="18"/>
    <x v="1"/>
    <x v="1"/>
    <x v="26"/>
    <x v="0"/>
    <x v="590"/>
    <x v="0"/>
    <x v="0"/>
    <x v="626"/>
  </r>
  <r>
    <x v="645"/>
    <x v="39"/>
    <x v="11"/>
    <x v="0"/>
    <x v="9"/>
    <x v="4"/>
    <x v="0"/>
    <x v="591"/>
    <x v="0"/>
    <x v="0"/>
    <x v="627"/>
  </r>
  <r>
    <x v="646"/>
    <x v="13"/>
    <x v="16"/>
    <x v="1"/>
    <x v="14"/>
    <x v="14"/>
    <x v="0"/>
    <x v="592"/>
    <x v="0"/>
    <x v="0"/>
    <x v="628"/>
  </r>
  <r>
    <x v="647"/>
    <x v="15"/>
    <x v="18"/>
    <x v="4"/>
    <x v="4"/>
    <x v="4"/>
    <x v="0"/>
    <x v="593"/>
    <x v="0"/>
    <x v="0"/>
    <x v="629"/>
  </r>
  <r>
    <x v="648"/>
    <x v="34"/>
    <x v="11"/>
    <x v="1"/>
    <x v="1"/>
    <x v="16"/>
    <x v="0"/>
    <x v="240"/>
    <x v="0"/>
    <x v="0"/>
    <x v="630"/>
  </r>
  <r>
    <x v="649"/>
    <x v="4"/>
    <x v="24"/>
    <x v="1"/>
    <x v="12"/>
    <x v="7"/>
    <x v="0"/>
    <x v="120"/>
    <x v="0"/>
    <x v="0"/>
    <x v="631"/>
  </r>
  <r>
    <x v="650"/>
    <x v="15"/>
    <x v="10"/>
    <x v="1"/>
    <x v="12"/>
    <x v="20"/>
    <x v="1"/>
    <x v="594"/>
    <x v="0"/>
    <x v="0"/>
    <x v="632"/>
  </r>
  <r>
    <x v="651"/>
    <x v="29"/>
    <x v="13"/>
    <x v="3"/>
    <x v="3"/>
    <x v="5"/>
    <x v="1"/>
    <x v="595"/>
    <x v="89"/>
    <x v="1"/>
    <x v="633"/>
  </r>
  <r>
    <x v="652"/>
    <x v="8"/>
    <x v="5"/>
    <x v="2"/>
    <x v="6"/>
    <x v="11"/>
    <x v="1"/>
    <x v="596"/>
    <x v="0"/>
    <x v="0"/>
    <x v="634"/>
  </r>
  <r>
    <x v="653"/>
    <x v="13"/>
    <x v="6"/>
    <x v="1"/>
    <x v="1"/>
    <x v="11"/>
    <x v="0"/>
    <x v="597"/>
    <x v="0"/>
    <x v="0"/>
    <x v="635"/>
  </r>
  <r>
    <x v="654"/>
    <x v="29"/>
    <x v="21"/>
    <x v="5"/>
    <x v="7"/>
    <x v="2"/>
    <x v="0"/>
    <x v="598"/>
    <x v="90"/>
    <x v="1"/>
    <x v="636"/>
  </r>
  <r>
    <x v="655"/>
    <x v="22"/>
    <x v="18"/>
    <x v="0"/>
    <x v="9"/>
    <x v="17"/>
    <x v="1"/>
    <x v="599"/>
    <x v="0"/>
    <x v="0"/>
    <x v="637"/>
  </r>
  <r>
    <x v="656"/>
    <x v="4"/>
    <x v="17"/>
    <x v="2"/>
    <x v="2"/>
    <x v="17"/>
    <x v="0"/>
    <x v="600"/>
    <x v="0"/>
    <x v="0"/>
    <x v="638"/>
  </r>
  <r>
    <x v="657"/>
    <x v="0"/>
    <x v="2"/>
    <x v="1"/>
    <x v="11"/>
    <x v="31"/>
    <x v="1"/>
    <x v="601"/>
    <x v="0"/>
    <x v="0"/>
    <x v="639"/>
  </r>
  <r>
    <x v="658"/>
    <x v="37"/>
    <x v="21"/>
    <x v="4"/>
    <x v="8"/>
    <x v="18"/>
    <x v="1"/>
    <x v="602"/>
    <x v="0"/>
    <x v="0"/>
    <x v="640"/>
  </r>
  <r>
    <x v="659"/>
    <x v="11"/>
    <x v="16"/>
    <x v="4"/>
    <x v="5"/>
    <x v="2"/>
    <x v="1"/>
    <x v="603"/>
    <x v="0"/>
    <x v="0"/>
    <x v="641"/>
  </r>
  <r>
    <x v="660"/>
    <x v="22"/>
    <x v="8"/>
    <x v="3"/>
    <x v="3"/>
    <x v="4"/>
    <x v="0"/>
    <x v="604"/>
    <x v="0"/>
    <x v="0"/>
    <x v="642"/>
  </r>
  <r>
    <x v="661"/>
    <x v="36"/>
    <x v="21"/>
    <x v="1"/>
    <x v="14"/>
    <x v="0"/>
    <x v="1"/>
    <x v="605"/>
    <x v="91"/>
    <x v="1"/>
    <x v="643"/>
  </r>
  <r>
    <x v="662"/>
    <x v="25"/>
    <x v="23"/>
    <x v="5"/>
    <x v="7"/>
    <x v="8"/>
    <x v="0"/>
    <x v="606"/>
    <x v="0"/>
    <x v="0"/>
    <x v="644"/>
  </r>
  <r>
    <x v="663"/>
    <x v="6"/>
    <x v="14"/>
    <x v="1"/>
    <x v="11"/>
    <x v="12"/>
    <x v="0"/>
    <x v="607"/>
    <x v="0"/>
    <x v="0"/>
    <x v="645"/>
  </r>
  <r>
    <x v="664"/>
    <x v="24"/>
    <x v="16"/>
    <x v="3"/>
    <x v="10"/>
    <x v="17"/>
    <x v="1"/>
    <x v="608"/>
    <x v="0"/>
    <x v="0"/>
    <x v="646"/>
  </r>
  <r>
    <x v="665"/>
    <x v="21"/>
    <x v="16"/>
    <x v="1"/>
    <x v="11"/>
    <x v="3"/>
    <x v="0"/>
    <x v="609"/>
    <x v="0"/>
    <x v="0"/>
    <x v="647"/>
  </r>
  <r>
    <x v="666"/>
    <x v="21"/>
    <x v="12"/>
    <x v="4"/>
    <x v="5"/>
    <x v="21"/>
    <x v="0"/>
    <x v="610"/>
    <x v="92"/>
    <x v="1"/>
    <x v="648"/>
  </r>
  <r>
    <x v="667"/>
    <x v="4"/>
    <x v="19"/>
    <x v="0"/>
    <x v="9"/>
    <x v="10"/>
    <x v="1"/>
    <x v="611"/>
    <x v="0"/>
    <x v="0"/>
    <x v="649"/>
  </r>
  <r>
    <x v="668"/>
    <x v="11"/>
    <x v="20"/>
    <x v="0"/>
    <x v="9"/>
    <x v="7"/>
    <x v="0"/>
    <x v="612"/>
    <x v="0"/>
    <x v="0"/>
    <x v="650"/>
  </r>
  <r>
    <x v="669"/>
    <x v="16"/>
    <x v="7"/>
    <x v="3"/>
    <x v="10"/>
    <x v="25"/>
    <x v="1"/>
    <x v="613"/>
    <x v="0"/>
    <x v="0"/>
    <x v="651"/>
  </r>
  <r>
    <x v="670"/>
    <x v="26"/>
    <x v="1"/>
    <x v="5"/>
    <x v="15"/>
    <x v="7"/>
    <x v="1"/>
    <x v="614"/>
    <x v="0"/>
    <x v="0"/>
    <x v="652"/>
  </r>
  <r>
    <x v="671"/>
    <x v="21"/>
    <x v="9"/>
    <x v="4"/>
    <x v="5"/>
    <x v="12"/>
    <x v="0"/>
    <x v="615"/>
    <x v="0"/>
    <x v="0"/>
    <x v="653"/>
  </r>
  <r>
    <x v="672"/>
    <x v="32"/>
    <x v="8"/>
    <x v="5"/>
    <x v="16"/>
    <x v="2"/>
    <x v="1"/>
    <x v="616"/>
    <x v="0"/>
    <x v="0"/>
    <x v="654"/>
  </r>
  <r>
    <x v="673"/>
    <x v="22"/>
    <x v="24"/>
    <x v="3"/>
    <x v="3"/>
    <x v="8"/>
    <x v="0"/>
    <x v="617"/>
    <x v="0"/>
    <x v="0"/>
    <x v="655"/>
  </r>
  <r>
    <x v="674"/>
    <x v="39"/>
    <x v="12"/>
    <x v="2"/>
    <x v="2"/>
    <x v="15"/>
    <x v="0"/>
    <x v="618"/>
    <x v="0"/>
    <x v="0"/>
    <x v="656"/>
  </r>
  <r>
    <x v="675"/>
    <x v="30"/>
    <x v="12"/>
    <x v="5"/>
    <x v="16"/>
    <x v="7"/>
    <x v="0"/>
    <x v="619"/>
    <x v="0"/>
    <x v="0"/>
    <x v="657"/>
  </r>
  <r>
    <x v="676"/>
    <x v="2"/>
    <x v="13"/>
    <x v="3"/>
    <x v="3"/>
    <x v="17"/>
    <x v="0"/>
    <x v="620"/>
    <x v="0"/>
    <x v="0"/>
    <x v="658"/>
  </r>
  <r>
    <x v="677"/>
    <x v="38"/>
    <x v="11"/>
    <x v="1"/>
    <x v="12"/>
    <x v="8"/>
    <x v="1"/>
    <x v="621"/>
    <x v="0"/>
    <x v="0"/>
    <x v="659"/>
  </r>
  <r>
    <x v="678"/>
    <x v="3"/>
    <x v="24"/>
    <x v="3"/>
    <x v="3"/>
    <x v="18"/>
    <x v="0"/>
    <x v="622"/>
    <x v="0"/>
    <x v="0"/>
    <x v="660"/>
  </r>
  <r>
    <x v="679"/>
    <x v="0"/>
    <x v="17"/>
    <x v="2"/>
    <x v="13"/>
    <x v="32"/>
    <x v="1"/>
    <x v="623"/>
    <x v="0"/>
    <x v="0"/>
    <x v="661"/>
  </r>
  <r>
    <x v="680"/>
    <x v="10"/>
    <x v="21"/>
    <x v="1"/>
    <x v="14"/>
    <x v="20"/>
    <x v="1"/>
    <x v="469"/>
    <x v="0"/>
    <x v="0"/>
    <x v="662"/>
  </r>
  <r>
    <x v="681"/>
    <x v="12"/>
    <x v="22"/>
    <x v="3"/>
    <x v="10"/>
    <x v="7"/>
    <x v="0"/>
    <x v="449"/>
    <x v="0"/>
    <x v="0"/>
    <x v="663"/>
  </r>
  <r>
    <x v="682"/>
    <x v="15"/>
    <x v="23"/>
    <x v="1"/>
    <x v="14"/>
    <x v="2"/>
    <x v="0"/>
    <x v="624"/>
    <x v="0"/>
    <x v="0"/>
    <x v="664"/>
  </r>
  <r>
    <x v="683"/>
    <x v="6"/>
    <x v="5"/>
    <x v="5"/>
    <x v="16"/>
    <x v="10"/>
    <x v="1"/>
    <x v="625"/>
    <x v="0"/>
    <x v="0"/>
    <x v="665"/>
  </r>
  <r>
    <x v="684"/>
    <x v="9"/>
    <x v="4"/>
    <x v="4"/>
    <x v="4"/>
    <x v="7"/>
    <x v="0"/>
    <x v="626"/>
    <x v="0"/>
    <x v="0"/>
    <x v="666"/>
  </r>
  <r>
    <x v="685"/>
    <x v="11"/>
    <x v="4"/>
    <x v="5"/>
    <x v="15"/>
    <x v="24"/>
    <x v="0"/>
    <x v="627"/>
    <x v="57"/>
    <x v="1"/>
    <x v="667"/>
  </r>
  <r>
    <x v="686"/>
    <x v="11"/>
    <x v="19"/>
    <x v="5"/>
    <x v="15"/>
    <x v="17"/>
    <x v="1"/>
    <x v="165"/>
    <x v="93"/>
    <x v="1"/>
    <x v="668"/>
  </r>
  <r>
    <x v="687"/>
    <x v="5"/>
    <x v="7"/>
    <x v="2"/>
    <x v="13"/>
    <x v="6"/>
    <x v="0"/>
    <x v="628"/>
    <x v="0"/>
    <x v="0"/>
    <x v="669"/>
  </r>
  <r>
    <x v="688"/>
    <x v="16"/>
    <x v="8"/>
    <x v="2"/>
    <x v="6"/>
    <x v="4"/>
    <x v="1"/>
    <x v="629"/>
    <x v="94"/>
    <x v="1"/>
    <x v="670"/>
  </r>
  <r>
    <x v="689"/>
    <x v="0"/>
    <x v="21"/>
    <x v="3"/>
    <x v="10"/>
    <x v="17"/>
    <x v="1"/>
    <x v="630"/>
    <x v="0"/>
    <x v="0"/>
    <x v="671"/>
  </r>
  <r>
    <x v="690"/>
    <x v="31"/>
    <x v="8"/>
    <x v="5"/>
    <x v="7"/>
    <x v="17"/>
    <x v="0"/>
    <x v="631"/>
    <x v="0"/>
    <x v="0"/>
    <x v="672"/>
  </r>
  <r>
    <x v="691"/>
    <x v="36"/>
    <x v="22"/>
    <x v="2"/>
    <x v="6"/>
    <x v="11"/>
    <x v="0"/>
    <x v="338"/>
    <x v="0"/>
    <x v="0"/>
    <x v="673"/>
  </r>
  <r>
    <x v="692"/>
    <x v="21"/>
    <x v="23"/>
    <x v="2"/>
    <x v="6"/>
    <x v="31"/>
    <x v="0"/>
    <x v="632"/>
    <x v="0"/>
    <x v="0"/>
    <x v="674"/>
  </r>
  <r>
    <x v="693"/>
    <x v="11"/>
    <x v="4"/>
    <x v="5"/>
    <x v="15"/>
    <x v="2"/>
    <x v="0"/>
    <x v="633"/>
    <x v="0"/>
    <x v="0"/>
    <x v="675"/>
  </r>
  <r>
    <x v="694"/>
    <x v="5"/>
    <x v="4"/>
    <x v="4"/>
    <x v="5"/>
    <x v="3"/>
    <x v="1"/>
    <x v="634"/>
    <x v="0"/>
    <x v="0"/>
    <x v="329"/>
  </r>
  <r>
    <x v="695"/>
    <x v="22"/>
    <x v="15"/>
    <x v="2"/>
    <x v="13"/>
    <x v="2"/>
    <x v="0"/>
    <x v="635"/>
    <x v="0"/>
    <x v="0"/>
    <x v="676"/>
  </r>
  <r>
    <x v="696"/>
    <x v="39"/>
    <x v="0"/>
    <x v="3"/>
    <x v="3"/>
    <x v="10"/>
    <x v="0"/>
    <x v="636"/>
    <x v="0"/>
    <x v="0"/>
    <x v="677"/>
  </r>
  <r>
    <x v="697"/>
    <x v="20"/>
    <x v="20"/>
    <x v="2"/>
    <x v="2"/>
    <x v="16"/>
    <x v="1"/>
    <x v="637"/>
    <x v="0"/>
    <x v="0"/>
    <x v="678"/>
  </r>
  <r>
    <x v="698"/>
    <x v="27"/>
    <x v="11"/>
    <x v="1"/>
    <x v="14"/>
    <x v="4"/>
    <x v="0"/>
    <x v="385"/>
    <x v="0"/>
    <x v="0"/>
    <x v="679"/>
  </r>
  <r>
    <x v="699"/>
    <x v="23"/>
    <x v="0"/>
    <x v="4"/>
    <x v="8"/>
    <x v="7"/>
    <x v="1"/>
    <x v="638"/>
    <x v="0"/>
    <x v="0"/>
    <x v="680"/>
  </r>
  <r>
    <x v="700"/>
    <x v="18"/>
    <x v="13"/>
    <x v="4"/>
    <x v="4"/>
    <x v="3"/>
    <x v="0"/>
    <x v="315"/>
    <x v="0"/>
    <x v="0"/>
    <x v="681"/>
  </r>
  <r>
    <x v="701"/>
    <x v="27"/>
    <x v="10"/>
    <x v="4"/>
    <x v="8"/>
    <x v="21"/>
    <x v="0"/>
    <x v="639"/>
    <x v="95"/>
    <x v="1"/>
    <x v="682"/>
  </r>
  <r>
    <x v="702"/>
    <x v="0"/>
    <x v="15"/>
    <x v="1"/>
    <x v="12"/>
    <x v="0"/>
    <x v="0"/>
    <x v="640"/>
    <x v="0"/>
    <x v="0"/>
    <x v="683"/>
  </r>
  <r>
    <x v="703"/>
    <x v="3"/>
    <x v="18"/>
    <x v="5"/>
    <x v="7"/>
    <x v="7"/>
    <x v="1"/>
    <x v="641"/>
    <x v="0"/>
    <x v="0"/>
    <x v="684"/>
  </r>
  <r>
    <x v="704"/>
    <x v="10"/>
    <x v="16"/>
    <x v="1"/>
    <x v="12"/>
    <x v="14"/>
    <x v="0"/>
    <x v="642"/>
    <x v="0"/>
    <x v="0"/>
    <x v="685"/>
  </r>
  <r>
    <x v="705"/>
    <x v="26"/>
    <x v="12"/>
    <x v="2"/>
    <x v="2"/>
    <x v="6"/>
    <x v="0"/>
    <x v="643"/>
    <x v="0"/>
    <x v="0"/>
    <x v="686"/>
  </r>
  <r>
    <x v="706"/>
    <x v="22"/>
    <x v="22"/>
    <x v="5"/>
    <x v="16"/>
    <x v="10"/>
    <x v="0"/>
    <x v="644"/>
    <x v="0"/>
    <x v="0"/>
    <x v="687"/>
  </r>
  <r>
    <x v="707"/>
    <x v="33"/>
    <x v="19"/>
    <x v="5"/>
    <x v="15"/>
    <x v="19"/>
    <x v="1"/>
    <x v="645"/>
    <x v="0"/>
    <x v="0"/>
    <x v="688"/>
  </r>
  <r>
    <x v="708"/>
    <x v="1"/>
    <x v="21"/>
    <x v="2"/>
    <x v="2"/>
    <x v="7"/>
    <x v="1"/>
    <x v="646"/>
    <x v="0"/>
    <x v="0"/>
    <x v="689"/>
  </r>
  <r>
    <x v="709"/>
    <x v="17"/>
    <x v="18"/>
    <x v="1"/>
    <x v="11"/>
    <x v="7"/>
    <x v="0"/>
    <x v="647"/>
    <x v="0"/>
    <x v="0"/>
    <x v="690"/>
  </r>
  <r>
    <x v="710"/>
    <x v="22"/>
    <x v="20"/>
    <x v="4"/>
    <x v="4"/>
    <x v="8"/>
    <x v="1"/>
    <x v="95"/>
    <x v="0"/>
    <x v="0"/>
    <x v="691"/>
  </r>
  <r>
    <x v="711"/>
    <x v="11"/>
    <x v="9"/>
    <x v="5"/>
    <x v="7"/>
    <x v="3"/>
    <x v="1"/>
    <x v="648"/>
    <x v="0"/>
    <x v="0"/>
    <x v="692"/>
  </r>
  <r>
    <x v="712"/>
    <x v="2"/>
    <x v="2"/>
    <x v="1"/>
    <x v="14"/>
    <x v="8"/>
    <x v="0"/>
    <x v="494"/>
    <x v="0"/>
    <x v="0"/>
    <x v="693"/>
  </r>
  <r>
    <x v="713"/>
    <x v="3"/>
    <x v="11"/>
    <x v="2"/>
    <x v="2"/>
    <x v="24"/>
    <x v="0"/>
    <x v="649"/>
    <x v="0"/>
    <x v="0"/>
    <x v="694"/>
  </r>
  <r>
    <x v="714"/>
    <x v="34"/>
    <x v="5"/>
    <x v="4"/>
    <x v="4"/>
    <x v="9"/>
    <x v="1"/>
    <x v="650"/>
    <x v="96"/>
    <x v="1"/>
    <x v="695"/>
  </r>
  <r>
    <x v="715"/>
    <x v="1"/>
    <x v="5"/>
    <x v="4"/>
    <x v="4"/>
    <x v="3"/>
    <x v="1"/>
    <x v="651"/>
    <x v="0"/>
    <x v="0"/>
    <x v="696"/>
  </r>
  <r>
    <x v="716"/>
    <x v="28"/>
    <x v="12"/>
    <x v="0"/>
    <x v="0"/>
    <x v="16"/>
    <x v="0"/>
    <x v="652"/>
    <x v="0"/>
    <x v="0"/>
    <x v="697"/>
  </r>
  <r>
    <x v="717"/>
    <x v="30"/>
    <x v="15"/>
    <x v="1"/>
    <x v="1"/>
    <x v="21"/>
    <x v="0"/>
    <x v="653"/>
    <x v="0"/>
    <x v="0"/>
    <x v="698"/>
  </r>
  <r>
    <x v="718"/>
    <x v="0"/>
    <x v="23"/>
    <x v="2"/>
    <x v="6"/>
    <x v="23"/>
    <x v="0"/>
    <x v="654"/>
    <x v="0"/>
    <x v="0"/>
    <x v="699"/>
  </r>
  <r>
    <x v="719"/>
    <x v="11"/>
    <x v="12"/>
    <x v="5"/>
    <x v="15"/>
    <x v="18"/>
    <x v="0"/>
    <x v="655"/>
    <x v="0"/>
    <x v="0"/>
    <x v="700"/>
  </r>
  <r>
    <x v="720"/>
    <x v="7"/>
    <x v="18"/>
    <x v="0"/>
    <x v="9"/>
    <x v="7"/>
    <x v="1"/>
    <x v="656"/>
    <x v="0"/>
    <x v="0"/>
    <x v="701"/>
  </r>
  <r>
    <x v="721"/>
    <x v="34"/>
    <x v="21"/>
    <x v="5"/>
    <x v="15"/>
    <x v="0"/>
    <x v="0"/>
    <x v="657"/>
    <x v="0"/>
    <x v="0"/>
    <x v="702"/>
  </r>
  <r>
    <x v="722"/>
    <x v="22"/>
    <x v="17"/>
    <x v="2"/>
    <x v="13"/>
    <x v="16"/>
    <x v="1"/>
    <x v="71"/>
    <x v="0"/>
    <x v="0"/>
    <x v="703"/>
  </r>
  <r>
    <x v="723"/>
    <x v="17"/>
    <x v="15"/>
    <x v="3"/>
    <x v="3"/>
    <x v="12"/>
    <x v="0"/>
    <x v="658"/>
    <x v="0"/>
    <x v="0"/>
    <x v="704"/>
  </r>
  <r>
    <x v="724"/>
    <x v="4"/>
    <x v="10"/>
    <x v="1"/>
    <x v="14"/>
    <x v="15"/>
    <x v="1"/>
    <x v="75"/>
    <x v="97"/>
    <x v="1"/>
    <x v="705"/>
  </r>
  <r>
    <x v="725"/>
    <x v="26"/>
    <x v="10"/>
    <x v="3"/>
    <x v="10"/>
    <x v="1"/>
    <x v="0"/>
    <x v="659"/>
    <x v="0"/>
    <x v="0"/>
    <x v="706"/>
  </r>
  <r>
    <x v="726"/>
    <x v="3"/>
    <x v="0"/>
    <x v="5"/>
    <x v="7"/>
    <x v="19"/>
    <x v="0"/>
    <x v="660"/>
    <x v="0"/>
    <x v="0"/>
    <x v="707"/>
  </r>
  <r>
    <x v="727"/>
    <x v="29"/>
    <x v="6"/>
    <x v="4"/>
    <x v="5"/>
    <x v="21"/>
    <x v="0"/>
    <x v="294"/>
    <x v="0"/>
    <x v="0"/>
    <x v="708"/>
  </r>
  <r>
    <x v="728"/>
    <x v="8"/>
    <x v="3"/>
    <x v="4"/>
    <x v="8"/>
    <x v="7"/>
    <x v="0"/>
    <x v="661"/>
    <x v="0"/>
    <x v="0"/>
    <x v="709"/>
  </r>
  <r>
    <x v="729"/>
    <x v="8"/>
    <x v="4"/>
    <x v="4"/>
    <x v="5"/>
    <x v="23"/>
    <x v="0"/>
    <x v="662"/>
    <x v="0"/>
    <x v="0"/>
    <x v="710"/>
  </r>
  <r>
    <x v="730"/>
    <x v="38"/>
    <x v="6"/>
    <x v="1"/>
    <x v="14"/>
    <x v="6"/>
    <x v="0"/>
    <x v="663"/>
    <x v="0"/>
    <x v="0"/>
    <x v="711"/>
  </r>
  <r>
    <x v="731"/>
    <x v="32"/>
    <x v="13"/>
    <x v="1"/>
    <x v="12"/>
    <x v="17"/>
    <x v="0"/>
    <x v="664"/>
    <x v="0"/>
    <x v="0"/>
    <x v="712"/>
  </r>
  <r>
    <x v="732"/>
    <x v="32"/>
    <x v="10"/>
    <x v="4"/>
    <x v="4"/>
    <x v="21"/>
    <x v="0"/>
    <x v="665"/>
    <x v="0"/>
    <x v="0"/>
    <x v="713"/>
  </r>
  <r>
    <x v="733"/>
    <x v="0"/>
    <x v="11"/>
    <x v="1"/>
    <x v="11"/>
    <x v="11"/>
    <x v="0"/>
    <x v="666"/>
    <x v="0"/>
    <x v="0"/>
    <x v="714"/>
  </r>
  <r>
    <x v="734"/>
    <x v="36"/>
    <x v="2"/>
    <x v="5"/>
    <x v="16"/>
    <x v="7"/>
    <x v="1"/>
    <x v="667"/>
    <x v="0"/>
    <x v="0"/>
    <x v="715"/>
  </r>
  <r>
    <x v="735"/>
    <x v="0"/>
    <x v="5"/>
    <x v="2"/>
    <x v="13"/>
    <x v="16"/>
    <x v="0"/>
    <x v="668"/>
    <x v="0"/>
    <x v="0"/>
    <x v="716"/>
  </r>
  <r>
    <x v="736"/>
    <x v="16"/>
    <x v="1"/>
    <x v="2"/>
    <x v="6"/>
    <x v="24"/>
    <x v="0"/>
    <x v="669"/>
    <x v="0"/>
    <x v="0"/>
    <x v="717"/>
  </r>
  <r>
    <x v="737"/>
    <x v="21"/>
    <x v="23"/>
    <x v="1"/>
    <x v="14"/>
    <x v="10"/>
    <x v="1"/>
    <x v="670"/>
    <x v="0"/>
    <x v="0"/>
    <x v="718"/>
  </r>
  <r>
    <x v="738"/>
    <x v="26"/>
    <x v="24"/>
    <x v="1"/>
    <x v="14"/>
    <x v="4"/>
    <x v="0"/>
    <x v="222"/>
    <x v="0"/>
    <x v="0"/>
    <x v="719"/>
  </r>
  <r>
    <x v="739"/>
    <x v="6"/>
    <x v="9"/>
    <x v="2"/>
    <x v="2"/>
    <x v="11"/>
    <x v="1"/>
    <x v="511"/>
    <x v="0"/>
    <x v="0"/>
    <x v="720"/>
  </r>
  <r>
    <x v="740"/>
    <x v="15"/>
    <x v="16"/>
    <x v="2"/>
    <x v="2"/>
    <x v="9"/>
    <x v="1"/>
    <x v="671"/>
    <x v="0"/>
    <x v="0"/>
    <x v="721"/>
  </r>
  <r>
    <x v="741"/>
    <x v="14"/>
    <x v="18"/>
    <x v="0"/>
    <x v="0"/>
    <x v="14"/>
    <x v="1"/>
    <x v="672"/>
    <x v="0"/>
    <x v="0"/>
    <x v="722"/>
  </r>
  <r>
    <x v="742"/>
    <x v="17"/>
    <x v="19"/>
    <x v="0"/>
    <x v="9"/>
    <x v="18"/>
    <x v="0"/>
    <x v="673"/>
    <x v="0"/>
    <x v="0"/>
    <x v="723"/>
  </r>
  <r>
    <x v="743"/>
    <x v="36"/>
    <x v="2"/>
    <x v="4"/>
    <x v="4"/>
    <x v="3"/>
    <x v="0"/>
    <x v="674"/>
    <x v="0"/>
    <x v="0"/>
    <x v="724"/>
  </r>
  <r>
    <x v="744"/>
    <x v="37"/>
    <x v="10"/>
    <x v="5"/>
    <x v="15"/>
    <x v="19"/>
    <x v="1"/>
    <x v="675"/>
    <x v="0"/>
    <x v="0"/>
    <x v="725"/>
  </r>
  <r>
    <x v="745"/>
    <x v="23"/>
    <x v="20"/>
    <x v="2"/>
    <x v="6"/>
    <x v="7"/>
    <x v="0"/>
    <x v="676"/>
    <x v="0"/>
    <x v="0"/>
    <x v="726"/>
  </r>
  <r>
    <x v="746"/>
    <x v="19"/>
    <x v="9"/>
    <x v="0"/>
    <x v="9"/>
    <x v="3"/>
    <x v="0"/>
    <x v="677"/>
    <x v="0"/>
    <x v="0"/>
    <x v="727"/>
  </r>
  <r>
    <x v="747"/>
    <x v="36"/>
    <x v="14"/>
    <x v="4"/>
    <x v="5"/>
    <x v="21"/>
    <x v="1"/>
    <x v="678"/>
    <x v="0"/>
    <x v="0"/>
    <x v="728"/>
  </r>
  <r>
    <x v="748"/>
    <x v="7"/>
    <x v="16"/>
    <x v="1"/>
    <x v="12"/>
    <x v="24"/>
    <x v="1"/>
    <x v="679"/>
    <x v="0"/>
    <x v="0"/>
    <x v="729"/>
  </r>
  <r>
    <x v="749"/>
    <x v="39"/>
    <x v="15"/>
    <x v="1"/>
    <x v="11"/>
    <x v="11"/>
    <x v="1"/>
    <x v="680"/>
    <x v="0"/>
    <x v="0"/>
    <x v="730"/>
  </r>
  <r>
    <x v="750"/>
    <x v="19"/>
    <x v="24"/>
    <x v="5"/>
    <x v="16"/>
    <x v="22"/>
    <x v="1"/>
    <x v="681"/>
    <x v="0"/>
    <x v="0"/>
    <x v="731"/>
  </r>
  <r>
    <x v="751"/>
    <x v="36"/>
    <x v="18"/>
    <x v="4"/>
    <x v="5"/>
    <x v="16"/>
    <x v="0"/>
    <x v="682"/>
    <x v="0"/>
    <x v="0"/>
    <x v="732"/>
  </r>
  <r>
    <x v="752"/>
    <x v="20"/>
    <x v="1"/>
    <x v="2"/>
    <x v="2"/>
    <x v="22"/>
    <x v="1"/>
    <x v="683"/>
    <x v="0"/>
    <x v="0"/>
    <x v="733"/>
  </r>
  <r>
    <x v="753"/>
    <x v="31"/>
    <x v="12"/>
    <x v="1"/>
    <x v="14"/>
    <x v="20"/>
    <x v="1"/>
    <x v="684"/>
    <x v="0"/>
    <x v="0"/>
    <x v="734"/>
  </r>
  <r>
    <x v="754"/>
    <x v="6"/>
    <x v="18"/>
    <x v="5"/>
    <x v="15"/>
    <x v="3"/>
    <x v="0"/>
    <x v="685"/>
    <x v="0"/>
    <x v="0"/>
    <x v="1"/>
  </r>
  <r>
    <x v="755"/>
    <x v="16"/>
    <x v="3"/>
    <x v="4"/>
    <x v="5"/>
    <x v="12"/>
    <x v="1"/>
    <x v="686"/>
    <x v="0"/>
    <x v="0"/>
    <x v="735"/>
  </r>
  <r>
    <x v="756"/>
    <x v="22"/>
    <x v="11"/>
    <x v="5"/>
    <x v="16"/>
    <x v="17"/>
    <x v="1"/>
    <x v="687"/>
    <x v="0"/>
    <x v="0"/>
    <x v="736"/>
  </r>
  <r>
    <x v="757"/>
    <x v="1"/>
    <x v="21"/>
    <x v="2"/>
    <x v="2"/>
    <x v="1"/>
    <x v="0"/>
    <x v="688"/>
    <x v="0"/>
    <x v="0"/>
    <x v="737"/>
  </r>
  <r>
    <x v="758"/>
    <x v="4"/>
    <x v="8"/>
    <x v="4"/>
    <x v="4"/>
    <x v="23"/>
    <x v="0"/>
    <x v="689"/>
    <x v="98"/>
    <x v="1"/>
    <x v="738"/>
  </r>
  <r>
    <x v="759"/>
    <x v="16"/>
    <x v="21"/>
    <x v="2"/>
    <x v="13"/>
    <x v="12"/>
    <x v="0"/>
    <x v="690"/>
    <x v="0"/>
    <x v="0"/>
    <x v="739"/>
  </r>
  <r>
    <x v="760"/>
    <x v="6"/>
    <x v="18"/>
    <x v="2"/>
    <x v="6"/>
    <x v="21"/>
    <x v="0"/>
    <x v="691"/>
    <x v="0"/>
    <x v="0"/>
    <x v="740"/>
  </r>
  <r>
    <x v="761"/>
    <x v="4"/>
    <x v="17"/>
    <x v="5"/>
    <x v="16"/>
    <x v="9"/>
    <x v="0"/>
    <x v="692"/>
    <x v="0"/>
    <x v="0"/>
    <x v="741"/>
  </r>
  <r>
    <x v="762"/>
    <x v="16"/>
    <x v="18"/>
    <x v="5"/>
    <x v="15"/>
    <x v="0"/>
    <x v="0"/>
    <x v="553"/>
    <x v="0"/>
    <x v="0"/>
    <x v="742"/>
  </r>
  <r>
    <x v="763"/>
    <x v="22"/>
    <x v="17"/>
    <x v="4"/>
    <x v="5"/>
    <x v="7"/>
    <x v="0"/>
    <x v="693"/>
    <x v="0"/>
    <x v="0"/>
    <x v="743"/>
  </r>
  <r>
    <x v="764"/>
    <x v="25"/>
    <x v="7"/>
    <x v="1"/>
    <x v="12"/>
    <x v="5"/>
    <x v="0"/>
    <x v="694"/>
    <x v="0"/>
    <x v="0"/>
    <x v="744"/>
  </r>
  <r>
    <x v="765"/>
    <x v="33"/>
    <x v="17"/>
    <x v="5"/>
    <x v="16"/>
    <x v="7"/>
    <x v="1"/>
    <x v="376"/>
    <x v="0"/>
    <x v="0"/>
    <x v="745"/>
  </r>
  <r>
    <x v="766"/>
    <x v="12"/>
    <x v="1"/>
    <x v="5"/>
    <x v="7"/>
    <x v="21"/>
    <x v="0"/>
    <x v="695"/>
    <x v="0"/>
    <x v="0"/>
    <x v="746"/>
  </r>
  <r>
    <x v="767"/>
    <x v="14"/>
    <x v="11"/>
    <x v="4"/>
    <x v="5"/>
    <x v="12"/>
    <x v="0"/>
    <x v="696"/>
    <x v="0"/>
    <x v="0"/>
    <x v="747"/>
  </r>
  <r>
    <x v="768"/>
    <x v="2"/>
    <x v="18"/>
    <x v="3"/>
    <x v="3"/>
    <x v="17"/>
    <x v="1"/>
    <x v="697"/>
    <x v="0"/>
    <x v="0"/>
    <x v="748"/>
  </r>
  <r>
    <x v="769"/>
    <x v="10"/>
    <x v="11"/>
    <x v="1"/>
    <x v="11"/>
    <x v="17"/>
    <x v="1"/>
    <x v="698"/>
    <x v="0"/>
    <x v="0"/>
    <x v="749"/>
  </r>
  <r>
    <x v="770"/>
    <x v="16"/>
    <x v="15"/>
    <x v="1"/>
    <x v="11"/>
    <x v="4"/>
    <x v="0"/>
    <x v="699"/>
    <x v="0"/>
    <x v="0"/>
    <x v="750"/>
  </r>
  <r>
    <x v="771"/>
    <x v="34"/>
    <x v="16"/>
    <x v="1"/>
    <x v="14"/>
    <x v="12"/>
    <x v="0"/>
    <x v="700"/>
    <x v="0"/>
    <x v="0"/>
    <x v="751"/>
  </r>
  <r>
    <x v="772"/>
    <x v="16"/>
    <x v="5"/>
    <x v="3"/>
    <x v="3"/>
    <x v="19"/>
    <x v="1"/>
    <x v="18"/>
    <x v="0"/>
    <x v="0"/>
    <x v="752"/>
  </r>
  <r>
    <x v="773"/>
    <x v="36"/>
    <x v="16"/>
    <x v="3"/>
    <x v="10"/>
    <x v="10"/>
    <x v="0"/>
    <x v="701"/>
    <x v="0"/>
    <x v="0"/>
    <x v="753"/>
  </r>
  <r>
    <x v="774"/>
    <x v="4"/>
    <x v="4"/>
    <x v="2"/>
    <x v="6"/>
    <x v="2"/>
    <x v="1"/>
    <x v="702"/>
    <x v="0"/>
    <x v="0"/>
    <x v="754"/>
  </r>
  <r>
    <x v="775"/>
    <x v="39"/>
    <x v="19"/>
    <x v="2"/>
    <x v="2"/>
    <x v="3"/>
    <x v="0"/>
    <x v="703"/>
    <x v="0"/>
    <x v="0"/>
    <x v="755"/>
  </r>
  <r>
    <x v="776"/>
    <x v="12"/>
    <x v="1"/>
    <x v="1"/>
    <x v="14"/>
    <x v="18"/>
    <x v="0"/>
    <x v="704"/>
    <x v="0"/>
    <x v="0"/>
    <x v="756"/>
  </r>
  <r>
    <x v="777"/>
    <x v="9"/>
    <x v="0"/>
    <x v="0"/>
    <x v="0"/>
    <x v="19"/>
    <x v="1"/>
    <x v="705"/>
    <x v="0"/>
    <x v="0"/>
    <x v="757"/>
  </r>
  <r>
    <x v="778"/>
    <x v="23"/>
    <x v="16"/>
    <x v="3"/>
    <x v="3"/>
    <x v="7"/>
    <x v="0"/>
    <x v="706"/>
    <x v="0"/>
    <x v="0"/>
    <x v="758"/>
  </r>
  <r>
    <x v="779"/>
    <x v="13"/>
    <x v="2"/>
    <x v="2"/>
    <x v="6"/>
    <x v="25"/>
    <x v="1"/>
    <x v="707"/>
    <x v="0"/>
    <x v="0"/>
    <x v="759"/>
  </r>
  <r>
    <x v="780"/>
    <x v="36"/>
    <x v="14"/>
    <x v="2"/>
    <x v="13"/>
    <x v="29"/>
    <x v="0"/>
    <x v="708"/>
    <x v="0"/>
    <x v="0"/>
    <x v="760"/>
  </r>
  <r>
    <x v="781"/>
    <x v="21"/>
    <x v="19"/>
    <x v="4"/>
    <x v="8"/>
    <x v="6"/>
    <x v="1"/>
    <x v="709"/>
    <x v="99"/>
    <x v="1"/>
    <x v="761"/>
  </r>
  <r>
    <x v="782"/>
    <x v="12"/>
    <x v="15"/>
    <x v="5"/>
    <x v="15"/>
    <x v="24"/>
    <x v="0"/>
    <x v="710"/>
    <x v="0"/>
    <x v="0"/>
    <x v="762"/>
  </r>
  <r>
    <x v="783"/>
    <x v="30"/>
    <x v="6"/>
    <x v="5"/>
    <x v="15"/>
    <x v="16"/>
    <x v="1"/>
    <x v="711"/>
    <x v="0"/>
    <x v="0"/>
    <x v="763"/>
  </r>
  <r>
    <x v="784"/>
    <x v="2"/>
    <x v="18"/>
    <x v="4"/>
    <x v="5"/>
    <x v="19"/>
    <x v="1"/>
    <x v="712"/>
    <x v="100"/>
    <x v="1"/>
    <x v="764"/>
  </r>
  <r>
    <x v="785"/>
    <x v="33"/>
    <x v="1"/>
    <x v="3"/>
    <x v="3"/>
    <x v="15"/>
    <x v="1"/>
    <x v="713"/>
    <x v="0"/>
    <x v="0"/>
    <x v="765"/>
  </r>
  <r>
    <x v="786"/>
    <x v="29"/>
    <x v="3"/>
    <x v="1"/>
    <x v="1"/>
    <x v="9"/>
    <x v="0"/>
    <x v="714"/>
    <x v="0"/>
    <x v="0"/>
    <x v="611"/>
  </r>
  <r>
    <x v="787"/>
    <x v="17"/>
    <x v="8"/>
    <x v="3"/>
    <x v="3"/>
    <x v="9"/>
    <x v="1"/>
    <x v="715"/>
    <x v="0"/>
    <x v="0"/>
    <x v="766"/>
  </r>
  <r>
    <x v="788"/>
    <x v="18"/>
    <x v="13"/>
    <x v="4"/>
    <x v="4"/>
    <x v="10"/>
    <x v="1"/>
    <x v="716"/>
    <x v="0"/>
    <x v="0"/>
    <x v="767"/>
  </r>
  <r>
    <x v="789"/>
    <x v="9"/>
    <x v="20"/>
    <x v="5"/>
    <x v="16"/>
    <x v="2"/>
    <x v="0"/>
    <x v="717"/>
    <x v="0"/>
    <x v="0"/>
    <x v="768"/>
  </r>
  <r>
    <x v="790"/>
    <x v="6"/>
    <x v="22"/>
    <x v="1"/>
    <x v="12"/>
    <x v="6"/>
    <x v="0"/>
    <x v="718"/>
    <x v="101"/>
    <x v="1"/>
    <x v="769"/>
  </r>
  <r>
    <x v="791"/>
    <x v="1"/>
    <x v="5"/>
    <x v="1"/>
    <x v="11"/>
    <x v="9"/>
    <x v="0"/>
    <x v="719"/>
    <x v="0"/>
    <x v="0"/>
    <x v="770"/>
  </r>
  <r>
    <x v="792"/>
    <x v="20"/>
    <x v="17"/>
    <x v="2"/>
    <x v="2"/>
    <x v="16"/>
    <x v="0"/>
    <x v="720"/>
    <x v="0"/>
    <x v="0"/>
    <x v="771"/>
  </r>
  <r>
    <x v="793"/>
    <x v="32"/>
    <x v="6"/>
    <x v="4"/>
    <x v="4"/>
    <x v="10"/>
    <x v="0"/>
    <x v="361"/>
    <x v="0"/>
    <x v="0"/>
    <x v="772"/>
  </r>
  <r>
    <x v="794"/>
    <x v="21"/>
    <x v="7"/>
    <x v="4"/>
    <x v="8"/>
    <x v="18"/>
    <x v="0"/>
    <x v="721"/>
    <x v="0"/>
    <x v="0"/>
    <x v="773"/>
  </r>
  <r>
    <x v="795"/>
    <x v="11"/>
    <x v="0"/>
    <x v="0"/>
    <x v="9"/>
    <x v="0"/>
    <x v="0"/>
    <x v="722"/>
    <x v="102"/>
    <x v="1"/>
    <x v="774"/>
  </r>
  <r>
    <x v="796"/>
    <x v="28"/>
    <x v="9"/>
    <x v="1"/>
    <x v="12"/>
    <x v="12"/>
    <x v="0"/>
    <x v="723"/>
    <x v="103"/>
    <x v="1"/>
    <x v="775"/>
  </r>
  <r>
    <x v="797"/>
    <x v="18"/>
    <x v="12"/>
    <x v="5"/>
    <x v="7"/>
    <x v="7"/>
    <x v="0"/>
    <x v="724"/>
    <x v="0"/>
    <x v="0"/>
    <x v="776"/>
  </r>
  <r>
    <x v="798"/>
    <x v="9"/>
    <x v="3"/>
    <x v="5"/>
    <x v="15"/>
    <x v="7"/>
    <x v="1"/>
    <x v="538"/>
    <x v="0"/>
    <x v="0"/>
    <x v="777"/>
  </r>
  <r>
    <x v="799"/>
    <x v="9"/>
    <x v="23"/>
    <x v="2"/>
    <x v="6"/>
    <x v="1"/>
    <x v="0"/>
    <x v="444"/>
    <x v="104"/>
    <x v="1"/>
    <x v="778"/>
  </r>
  <r>
    <x v="800"/>
    <x v="3"/>
    <x v="6"/>
    <x v="5"/>
    <x v="16"/>
    <x v="24"/>
    <x v="0"/>
    <x v="725"/>
    <x v="105"/>
    <x v="1"/>
    <x v="779"/>
  </r>
  <r>
    <x v="801"/>
    <x v="39"/>
    <x v="23"/>
    <x v="5"/>
    <x v="16"/>
    <x v="3"/>
    <x v="0"/>
    <x v="726"/>
    <x v="0"/>
    <x v="0"/>
    <x v="780"/>
  </r>
  <r>
    <x v="802"/>
    <x v="17"/>
    <x v="17"/>
    <x v="2"/>
    <x v="6"/>
    <x v="17"/>
    <x v="1"/>
    <x v="727"/>
    <x v="0"/>
    <x v="0"/>
    <x v="781"/>
  </r>
  <r>
    <x v="803"/>
    <x v="18"/>
    <x v="3"/>
    <x v="1"/>
    <x v="1"/>
    <x v="13"/>
    <x v="1"/>
    <x v="728"/>
    <x v="106"/>
    <x v="1"/>
    <x v="782"/>
  </r>
  <r>
    <x v="804"/>
    <x v="20"/>
    <x v="2"/>
    <x v="1"/>
    <x v="11"/>
    <x v="21"/>
    <x v="0"/>
    <x v="150"/>
    <x v="0"/>
    <x v="0"/>
    <x v="783"/>
  </r>
  <r>
    <x v="805"/>
    <x v="33"/>
    <x v="8"/>
    <x v="5"/>
    <x v="7"/>
    <x v="20"/>
    <x v="0"/>
    <x v="729"/>
    <x v="0"/>
    <x v="0"/>
    <x v="784"/>
  </r>
  <r>
    <x v="806"/>
    <x v="31"/>
    <x v="15"/>
    <x v="2"/>
    <x v="13"/>
    <x v="2"/>
    <x v="0"/>
    <x v="730"/>
    <x v="0"/>
    <x v="0"/>
    <x v="785"/>
  </r>
  <r>
    <x v="807"/>
    <x v="16"/>
    <x v="19"/>
    <x v="4"/>
    <x v="4"/>
    <x v="20"/>
    <x v="1"/>
    <x v="619"/>
    <x v="0"/>
    <x v="0"/>
    <x v="786"/>
  </r>
  <r>
    <x v="808"/>
    <x v="22"/>
    <x v="1"/>
    <x v="3"/>
    <x v="3"/>
    <x v="12"/>
    <x v="0"/>
    <x v="731"/>
    <x v="107"/>
    <x v="1"/>
    <x v="787"/>
  </r>
  <r>
    <x v="809"/>
    <x v="2"/>
    <x v="17"/>
    <x v="1"/>
    <x v="1"/>
    <x v="20"/>
    <x v="1"/>
    <x v="732"/>
    <x v="0"/>
    <x v="0"/>
    <x v="1"/>
  </r>
  <r>
    <x v="810"/>
    <x v="38"/>
    <x v="14"/>
    <x v="0"/>
    <x v="0"/>
    <x v="6"/>
    <x v="0"/>
    <x v="733"/>
    <x v="0"/>
    <x v="0"/>
    <x v="788"/>
  </r>
  <r>
    <x v="811"/>
    <x v="35"/>
    <x v="10"/>
    <x v="3"/>
    <x v="3"/>
    <x v="9"/>
    <x v="1"/>
    <x v="690"/>
    <x v="0"/>
    <x v="0"/>
    <x v="789"/>
  </r>
  <r>
    <x v="812"/>
    <x v="8"/>
    <x v="1"/>
    <x v="1"/>
    <x v="11"/>
    <x v="14"/>
    <x v="1"/>
    <x v="734"/>
    <x v="0"/>
    <x v="0"/>
    <x v="790"/>
  </r>
  <r>
    <x v="813"/>
    <x v="9"/>
    <x v="3"/>
    <x v="1"/>
    <x v="14"/>
    <x v="14"/>
    <x v="0"/>
    <x v="735"/>
    <x v="0"/>
    <x v="0"/>
    <x v="791"/>
  </r>
  <r>
    <x v="814"/>
    <x v="10"/>
    <x v="6"/>
    <x v="2"/>
    <x v="2"/>
    <x v="11"/>
    <x v="0"/>
    <x v="736"/>
    <x v="0"/>
    <x v="0"/>
    <x v="792"/>
  </r>
  <r>
    <x v="815"/>
    <x v="33"/>
    <x v="15"/>
    <x v="2"/>
    <x v="13"/>
    <x v="4"/>
    <x v="0"/>
    <x v="671"/>
    <x v="0"/>
    <x v="0"/>
    <x v="793"/>
  </r>
  <r>
    <x v="816"/>
    <x v="32"/>
    <x v="6"/>
    <x v="4"/>
    <x v="4"/>
    <x v="1"/>
    <x v="1"/>
    <x v="737"/>
    <x v="0"/>
    <x v="0"/>
    <x v="794"/>
  </r>
  <r>
    <x v="817"/>
    <x v="4"/>
    <x v="17"/>
    <x v="3"/>
    <x v="10"/>
    <x v="16"/>
    <x v="0"/>
    <x v="738"/>
    <x v="108"/>
    <x v="1"/>
    <x v="795"/>
  </r>
  <r>
    <x v="818"/>
    <x v="27"/>
    <x v="17"/>
    <x v="1"/>
    <x v="11"/>
    <x v="1"/>
    <x v="1"/>
    <x v="507"/>
    <x v="0"/>
    <x v="0"/>
    <x v="796"/>
  </r>
  <r>
    <x v="819"/>
    <x v="32"/>
    <x v="19"/>
    <x v="2"/>
    <x v="13"/>
    <x v="8"/>
    <x v="1"/>
    <x v="739"/>
    <x v="0"/>
    <x v="0"/>
    <x v="797"/>
  </r>
  <r>
    <x v="820"/>
    <x v="29"/>
    <x v="18"/>
    <x v="4"/>
    <x v="5"/>
    <x v="9"/>
    <x v="1"/>
    <x v="740"/>
    <x v="0"/>
    <x v="0"/>
    <x v="798"/>
  </r>
  <r>
    <x v="821"/>
    <x v="16"/>
    <x v="12"/>
    <x v="4"/>
    <x v="4"/>
    <x v="17"/>
    <x v="0"/>
    <x v="741"/>
    <x v="0"/>
    <x v="0"/>
    <x v="799"/>
  </r>
  <r>
    <x v="822"/>
    <x v="4"/>
    <x v="0"/>
    <x v="2"/>
    <x v="2"/>
    <x v="21"/>
    <x v="0"/>
    <x v="742"/>
    <x v="0"/>
    <x v="0"/>
    <x v="800"/>
  </r>
  <r>
    <x v="823"/>
    <x v="31"/>
    <x v="18"/>
    <x v="3"/>
    <x v="10"/>
    <x v="23"/>
    <x v="0"/>
    <x v="743"/>
    <x v="0"/>
    <x v="0"/>
    <x v="801"/>
  </r>
  <r>
    <x v="824"/>
    <x v="33"/>
    <x v="20"/>
    <x v="4"/>
    <x v="4"/>
    <x v="14"/>
    <x v="1"/>
    <x v="744"/>
    <x v="0"/>
    <x v="0"/>
    <x v="802"/>
  </r>
  <r>
    <x v="825"/>
    <x v="3"/>
    <x v="12"/>
    <x v="3"/>
    <x v="10"/>
    <x v="0"/>
    <x v="0"/>
    <x v="745"/>
    <x v="0"/>
    <x v="0"/>
    <x v="803"/>
  </r>
  <r>
    <x v="826"/>
    <x v="26"/>
    <x v="3"/>
    <x v="2"/>
    <x v="13"/>
    <x v="33"/>
    <x v="1"/>
    <x v="746"/>
    <x v="0"/>
    <x v="0"/>
    <x v="804"/>
  </r>
  <r>
    <x v="827"/>
    <x v="11"/>
    <x v="1"/>
    <x v="2"/>
    <x v="2"/>
    <x v="0"/>
    <x v="0"/>
    <x v="747"/>
    <x v="0"/>
    <x v="0"/>
    <x v="805"/>
  </r>
  <r>
    <x v="828"/>
    <x v="32"/>
    <x v="4"/>
    <x v="1"/>
    <x v="11"/>
    <x v="18"/>
    <x v="0"/>
    <x v="748"/>
    <x v="0"/>
    <x v="0"/>
    <x v="806"/>
  </r>
  <r>
    <x v="829"/>
    <x v="17"/>
    <x v="1"/>
    <x v="4"/>
    <x v="5"/>
    <x v="22"/>
    <x v="1"/>
    <x v="548"/>
    <x v="0"/>
    <x v="0"/>
    <x v="807"/>
  </r>
  <r>
    <x v="830"/>
    <x v="8"/>
    <x v="13"/>
    <x v="5"/>
    <x v="15"/>
    <x v="0"/>
    <x v="0"/>
    <x v="749"/>
    <x v="109"/>
    <x v="1"/>
    <x v="808"/>
  </r>
  <r>
    <x v="831"/>
    <x v="22"/>
    <x v="22"/>
    <x v="2"/>
    <x v="2"/>
    <x v="10"/>
    <x v="0"/>
    <x v="16"/>
    <x v="0"/>
    <x v="0"/>
    <x v="809"/>
  </r>
  <r>
    <x v="832"/>
    <x v="7"/>
    <x v="23"/>
    <x v="5"/>
    <x v="15"/>
    <x v="2"/>
    <x v="0"/>
    <x v="750"/>
    <x v="0"/>
    <x v="0"/>
    <x v="810"/>
  </r>
  <r>
    <x v="833"/>
    <x v="32"/>
    <x v="6"/>
    <x v="5"/>
    <x v="16"/>
    <x v="16"/>
    <x v="0"/>
    <x v="552"/>
    <x v="0"/>
    <x v="0"/>
    <x v="811"/>
  </r>
  <r>
    <x v="834"/>
    <x v="9"/>
    <x v="11"/>
    <x v="5"/>
    <x v="7"/>
    <x v="17"/>
    <x v="0"/>
    <x v="751"/>
    <x v="0"/>
    <x v="0"/>
    <x v="812"/>
  </r>
  <r>
    <x v="835"/>
    <x v="25"/>
    <x v="10"/>
    <x v="0"/>
    <x v="0"/>
    <x v="7"/>
    <x v="0"/>
    <x v="752"/>
    <x v="0"/>
    <x v="0"/>
    <x v="813"/>
  </r>
  <r>
    <x v="836"/>
    <x v="35"/>
    <x v="5"/>
    <x v="4"/>
    <x v="8"/>
    <x v="22"/>
    <x v="1"/>
    <x v="561"/>
    <x v="0"/>
    <x v="0"/>
    <x v="814"/>
  </r>
  <r>
    <x v="837"/>
    <x v="25"/>
    <x v="10"/>
    <x v="4"/>
    <x v="5"/>
    <x v="2"/>
    <x v="1"/>
    <x v="753"/>
    <x v="0"/>
    <x v="0"/>
    <x v="815"/>
  </r>
  <r>
    <x v="838"/>
    <x v="26"/>
    <x v="12"/>
    <x v="1"/>
    <x v="11"/>
    <x v="13"/>
    <x v="1"/>
    <x v="754"/>
    <x v="0"/>
    <x v="0"/>
    <x v="816"/>
  </r>
  <r>
    <x v="839"/>
    <x v="7"/>
    <x v="17"/>
    <x v="1"/>
    <x v="14"/>
    <x v="6"/>
    <x v="0"/>
    <x v="755"/>
    <x v="110"/>
    <x v="1"/>
    <x v="817"/>
  </r>
  <r>
    <x v="840"/>
    <x v="5"/>
    <x v="2"/>
    <x v="1"/>
    <x v="11"/>
    <x v="27"/>
    <x v="0"/>
    <x v="756"/>
    <x v="0"/>
    <x v="0"/>
    <x v="818"/>
  </r>
  <r>
    <x v="841"/>
    <x v="11"/>
    <x v="14"/>
    <x v="5"/>
    <x v="7"/>
    <x v="10"/>
    <x v="0"/>
    <x v="757"/>
    <x v="0"/>
    <x v="0"/>
    <x v="819"/>
  </r>
  <r>
    <x v="842"/>
    <x v="27"/>
    <x v="22"/>
    <x v="3"/>
    <x v="10"/>
    <x v="19"/>
    <x v="0"/>
    <x v="18"/>
    <x v="0"/>
    <x v="0"/>
    <x v="820"/>
  </r>
  <r>
    <x v="843"/>
    <x v="2"/>
    <x v="19"/>
    <x v="1"/>
    <x v="14"/>
    <x v="3"/>
    <x v="0"/>
    <x v="758"/>
    <x v="0"/>
    <x v="0"/>
    <x v="821"/>
  </r>
  <r>
    <x v="844"/>
    <x v="36"/>
    <x v="11"/>
    <x v="5"/>
    <x v="7"/>
    <x v="0"/>
    <x v="0"/>
    <x v="759"/>
    <x v="0"/>
    <x v="0"/>
    <x v="822"/>
  </r>
  <r>
    <x v="845"/>
    <x v="30"/>
    <x v="3"/>
    <x v="1"/>
    <x v="14"/>
    <x v="26"/>
    <x v="0"/>
    <x v="760"/>
    <x v="0"/>
    <x v="0"/>
    <x v="823"/>
  </r>
  <r>
    <x v="846"/>
    <x v="27"/>
    <x v="3"/>
    <x v="2"/>
    <x v="6"/>
    <x v="12"/>
    <x v="0"/>
    <x v="761"/>
    <x v="0"/>
    <x v="0"/>
    <x v="824"/>
  </r>
  <r>
    <x v="847"/>
    <x v="29"/>
    <x v="20"/>
    <x v="2"/>
    <x v="6"/>
    <x v="5"/>
    <x v="1"/>
    <x v="762"/>
    <x v="0"/>
    <x v="0"/>
    <x v="825"/>
  </r>
  <r>
    <x v="848"/>
    <x v="23"/>
    <x v="16"/>
    <x v="3"/>
    <x v="3"/>
    <x v="3"/>
    <x v="0"/>
    <x v="763"/>
    <x v="0"/>
    <x v="0"/>
    <x v="826"/>
  </r>
  <r>
    <x v="849"/>
    <x v="14"/>
    <x v="4"/>
    <x v="4"/>
    <x v="5"/>
    <x v="0"/>
    <x v="0"/>
    <x v="764"/>
    <x v="0"/>
    <x v="0"/>
    <x v="827"/>
  </r>
  <r>
    <x v="850"/>
    <x v="19"/>
    <x v="14"/>
    <x v="4"/>
    <x v="8"/>
    <x v="14"/>
    <x v="0"/>
    <x v="765"/>
    <x v="0"/>
    <x v="0"/>
    <x v="828"/>
  </r>
  <r>
    <x v="851"/>
    <x v="27"/>
    <x v="8"/>
    <x v="1"/>
    <x v="12"/>
    <x v="12"/>
    <x v="1"/>
    <x v="766"/>
    <x v="0"/>
    <x v="0"/>
    <x v="829"/>
  </r>
  <r>
    <x v="852"/>
    <x v="30"/>
    <x v="6"/>
    <x v="1"/>
    <x v="14"/>
    <x v="2"/>
    <x v="1"/>
    <x v="167"/>
    <x v="0"/>
    <x v="0"/>
    <x v="830"/>
  </r>
  <r>
    <x v="853"/>
    <x v="9"/>
    <x v="6"/>
    <x v="4"/>
    <x v="8"/>
    <x v="19"/>
    <x v="0"/>
    <x v="767"/>
    <x v="0"/>
    <x v="0"/>
    <x v="831"/>
  </r>
  <r>
    <x v="854"/>
    <x v="12"/>
    <x v="19"/>
    <x v="4"/>
    <x v="4"/>
    <x v="8"/>
    <x v="0"/>
    <x v="348"/>
    <x v="0"/>
    <x v="0"/>
    <x v="832"/>
  </r>
  <r>
    <x v="855"/>
    <x v="15"/>
    <x v="22"/>
    <x v="1"/>
    <x v="11"/>
    <x v="1"/>
    <x v="0"/>
    <x v="768"/>
    <x v="0"/>
    <x v="0"/>
    <x v="833"/>
  </r>
  <r>
    <x v="856"/>
    <x v="31"/>
    <x v="5"/>
    <x v="0"/>
    <x v="0"/>
    <x v="20"/>
    <x v="0"/>
    <x v="769"/>
    <x v="0"/>
    <x v="0"/>
    <x v="834"/>
  </r>
  <r>
    <x v="857"/>
    <x v="31"/>
    <x v="8"/>
    <x v="4"/>
    <x v="8"/>
    <x v="24"/>
    <x v="1"/>
    <x v="770"/>
    <x v="0"/>
    <x v="0"/>
    <x v="835"/>
  </r>
  <r>
    <x v="858"/>
    <x v="23"/>
    <x v="1"/>
    <x v="4"/>
    <x v="4"/>
    <x v="11"/>
    <x v="0"/>
    <x v="771"/>
    <x v="0"/>
    <x v="0"/>
    <x v="836"/>
  </r>
  <r>
    <x v="859"/>
    <x v="28"/>
    <x v="14"/>
    <x v="1"/>
    <x v="1"/>
    <x v="29"/>
    <x v="1"/>
    <x v="772"/>
    <x v="111"/>
    <x v="1"/>
    <x v="837"/>
  </r>
  <r>
    <x v="860"/>
    <x v="24"/>
    <x v="5"/>
    <x v="1"/>
    <x v="1"/>
    <x v="23"/>
    <x v="0"/>
    <x v="368"/>
    <x v="0"/>
    <x v="0"/>
    <x v="838"/>
  </r>
  <r>
    <x v="861"/>
    <x v="0"/>
    <x v="3"/>
    <x v="2"/>
    <x v="2"/>
    <x v="9"/>
    <x v="1"/>
    <x v="773"/>
    <x v="0"/>
    <x v="0"/>
    <x v="839"/>
  </r>
  <r>
    <x v="862"/>
    <x v="16"/>
    <x v="18"/>
    <x v="2"/>
    <x v="6"/>
    <x v="6"/>
    <x v="0"/>
    <x v="774"/>
    <x v="0"/>
    <x v="0"/>
    <x v="840"/>
  </r>
  <r>
    <x v="863"/>
    <x v="12"/>
    <x v="1"/>
    <x v="1"/>
    <x v="11"/>
    <x v="4"/>
    <x v="1"/>
    <x v="318"/>
    <x v="0"/>
    <x v="0"/>
    <x v="841"/>
  </r>
  <r>
    <x v="864"/>
    <x v="27"/>
    <x v="8"/>
    <x v="5"/>
    <x v="16"/>
    <x v="8"/>
    <x v="0"/>
    <x v="775"/>
    <x v="0"/>
    <x v="0"/>
    <x v="842"/>
  </r>
  <r>
    <x v="865"/>
    <x v="1"/>
    <x v="10"/>
    <x v="1"/>
    <x v="12"/>
    <x v="1"/>
    <x v="0"/>
    <x v="776"/>
    <x v="0"/>
    <x v="0"/>
    <x v="843"/>
  </r>
  <r>
    <x v="866"/>
    <x v="26"/>
    <x v="0"/>
    <x v="1"/>
    <x v="12"/>
    <x v="14"/>
    <x v="0"/>
    <x v="777"/>
    <x v="0"/>
    <x v="0"/>
    <x v="844"/>
  </r>
  <r>
    <x v="867"/>
    <x v="13"/>
    <x v="0"/>
    <x v="5"/>
    <x v="15"/>
    <x v="7"/>
    <x v="0"/>
    <x v="778"/>
    <x v="112"/>
    <x v="1"/>
    <x v="1"/>
  </r>
  <r>
    <x v="868"/>
    <x v="6"/>
    <x v="7"/>
    <x v="4"/>
    <x v="5"/>
    <x v="21"/>
    <x v="1"/>
    <x v="779"/>
    <x v="0"/>
    <x v="0"/>
    <x v="845"/>
  </r>
  <r>
    <x v="869"/>
    <x v="22"/>
    <x v="19"/>
    <x v="0"/>
    <x v="0"/>
    <x v="32"/>
    <x v="0"/>
    <x v="780"/>
    <x v="0"/>
    <x v="0"/>
    <x v="846"/>
  </r>
  <r>
    <x v="870"/>
    <x v="29"/>
    <x v="4"/>
    <x v="1"/>
    <x v="12"/>
    <x v="20"/>
    <x v="0"/>
    <x v="781"/>
    <x v="113"/>
    <x v="1"/>
    <x v="1"/>
  </r>
  <r>
    <x v="871"/>
    <x v="29"/>
    <x v="24"/>
    <x v="0"/>
    <x v="0"/>
    <x v="22"/>
    <x v="0"/>
    <x v="782"/>
    <x v="0"/>
    <x v="0"/>
    <x v="847"/>
  </r>
  <r>
    <x v="872"/>
    <x v="27"/>
    <x v="14"/>
    <x v="2"/>
    <x v="2"/>
    <x v="31"/>
    <x v="0"/>
    <x v="783"/>
    <x v="0"/>
    <x v="0"/>
    <x v="558"/>
  </r>
  <r>
    <x v="873"/>
    <x v="4"/>
    <x v="20"/>
    <x v="1"/>
    <x v="12"/>
    <x v="1"/>
    <x v="0"/>
    <x v="784"/>
    <x v="0"/>
    <x v="0"/>
    <x v="848"/>
  </r>
  <r>
    <x v="874"/>
    <x v="8"/>
    <x v="15"/>
    <x v="5"/>
    <x v="16"/>
    <x v="3"/>
    <x v="0"/>
    <x v="785"/>
    <x v="0"/>
    <x v="0"/>
    <x v="849"/>
  </r>
  <r>
    <x v="875"/>
    <x v="14"/>
    <x v="5"/>
    <x v="3"/>
    <x v="10"/>
    <x v="7"/>
    <x v="1"/>
    <x v="554"/>
    <x v="0"/>
    <x v="0"/>
    <x v="850"/>
  </r>
  <r>
    <x v="876"/>
    <x v="23"/>
    <x v="1"/>
    <x v="2"/>
    <x v="13"/>
    <x v="4"/>
    <x v="1"/>
    <x v="786"/>
    <x v="114"/>
    <x v="1"/>
    <x v="851"/>
  </r>
  <r>
    <x v="877"/>
    <x v="24"/>
    <x v="11"/>
    <x v="1"/>
    <x v="11"/>
    <x v="19"/>
    <x v="0"/>
    <x v="787"/>
    <x v="0"/>
    <x v="0"/>
    <x v="852"/>
  </r>
  <r>
    <x v="878"/>
    <x v="37"/>
    <x v="9"/>
    <x v="5"/>
    <x v="7"/>
    <x v="25"/>
    <x v="0"/>
    <x v="788"/>
    <x v="0"/>
    <x v="0"/>
    <x v="853"/>
  </r>
  <r>
    <x v="879"/>
    <x v="11"/>
    <x v="13"/>
    <x v="2"/>
    <x v="13"/>
    <x v="7"/>
    <x v="0"/>
    <x v="789"/>
    <x v="0"/>
    <x v="0"/>
    <x v="854"/>
  </r>
  <r>
    <x v="880"/>
    <x v="21"/>
    <x v="23"/>
    <x v="4"/>
    <x v="5"/>
    <x v="7"/>
    <x v="1"/>
    <x v="762"/>
    <x v="0"/>
    <x v="0"/>
    <x v="855"/>
  </r>
  <r>
    <x v="881"/>
    <x v="36"/>
    <x v="24"/>
    <x v="1"/>
    <x v="12"/>
    <x v="21"/>
    <x v="1"/>
    <x v="535"/>
    <x v="115"/>
    <x v="1"/>
    <x v="856"/>
  </r>
  <r>
    <x v="882"/>
    <x v="12"/>
    <x v="21"/>
    <x v="5"/>
    <x v="15"/>
    <x v="8"/>
    <x v="1"/>
    <x v="790"/>
    <x v="0"/>
    <x v="0"/>
    <x v="857"/>
  </r>
  <r>
    <x v="883"/>
    <x v="21"/>
    <x v="5"/>
    <x v="2"/>
    <x v="13"/>
    <x v="7"/>
    <x v="0"/>
    <x v="429"/>
    <x v="0"/>
    <x v="0"/>
    <x v="858"/>
  </r>
  <r>
    <x v="884"/>
    <x v="8"/>
    <x v="18"/>
    <x v="3"/>
    <x v="10"/>
    <x v="28"/>
    <x v="0"/>
    <x v="791"/>
    <x v="0"/>
    <x v="0"/>
    <x v="859"/>
  </r>
  <r>
    <x v="885"/>
    <x v="30"/>
    <x v="3"/>
    <x v="1"/>
    <x v="12"/>
    <x v="9"/>
    <x v="0"/>
    <x v="295"/>
    <x v="0"/>
    <x v="0"/>
    <x v="860"/>
  </r>
  <r>
    <x v="886"/>
    <x v="15"/>
    <x v="20"/>
    <x v="5"/>
    <x v="15"/>
    <x v="14"/>
    <x v="0"/>
    <x v="792"/>
    <x v="0"/>
    <x v="0"/>
    <x v="861"/>
  </r>
  <r>
    <x v="887"/>
    <x v="7"/>
    <x v="0"/>
    <x v="1"/>
    <x v="14"/>
    <x v="16"/>
    <x v="1"/>
    <x v="793"/>
    <x v="0"/>
    <x v="0"/>
    <x v="862"/>
  </r>
  <r>
    <x v="888"/>
    <x v="19"/>
    <x v="12"/>
    <x v="2"/>
    <x v="2"/>
    <x v="3"/>
    <x v="1"/>
    <x v="767"/>
    <x v="0"/>
    <x v="0"/>
    <x v="863"/>
  </r>
  <r>
    <x v="889"/>
    <x v="15"/>
    <x v="15"/>
    <x v="3"/>
    <x v="3"/>
    <x v="7"/>
    <x v="1"/>
    <x v="717"/>
    <x v="0"/>
    <x v="0"/>
    <x v="864"/>
  </r>
  <r>
    <x v="890"/>
    <x v="24"/>
    <x v="13"/>
    <x v="1"/>
    <x v="11"/>
    <x v="14"/>
    <x v="1"/>
    <x v="794"/>
    <x v="0"/>
    <x v="0"/>
    <x v="865"/>
  </r>
  <r>
    <x v="891"/>
    <x v="17"/>
    <x v="21"/>
    <x v="1"/>
    <x v="1"/>
    <x v="7"/>
    <x v="1"/>
    <x v="795"/>
    <x v="0"/>
    <x v="0"/>
    <x v="866"/>
  </r>
  <r>
    <x v="892"/>
    <x v="20"/>
    <x v="13"/>
    <x v="4"/>
    <x v="8"/>
    <x v="25"/>
    <x v="1"/>
    <x v="796"/>
    <x v="0"/>
    <x v="0"/>
    <x v="867"/>
  </r>
  <r>
    <x v="893"/>
    <x v="31"/>
    <x v="4"/>
    <x v="1"/>
    <x v="12"/>
    <x v="9"/>
    <x v="0"/>
    <x v="797"/>
    <x v="0"/>
    <x v="0"/>
    <x v="868"/>
  </r>
  <r>
    <x v="894"/>
    <x v="4"/>
    <x v="10"/>
    <x v="4"/>
    <x v="5"/>
    <x v="1"/>
    <x v="0"/>
    <x v="798"/>
    <x v="0"/>
    <x v="0"/>
    <x v="869"/>
  </r>
  <r>
    <x v="895"/>
    <x v="11"/>
    <x v="19"/>
    <x v="1"/>
    <x v="12"/>
    <x v="0"/>
    <x v="1"/>
    <x v="799"/>
    <x v="0"/>
    <x v="0"/>
    <x v="870"/>
  </r>
  <r>
    <x v="896"/>
    <x v="38"/>
    <x v="6"/>
    <x v="5"/>
    <x v="16"/>
    <x v="8"/>
    <x v="0"/>
    <x v="23"/>
    <x v="116"/>
    <x v="1"/>
    <x v="871"/>
  </r>
  <r>
    <x v="897"/>
    <x v="10"/>
    <x v="13"/>
    <x v="1"/>
    <x v="1"/>
    <x v="9"/>
    <x v="0"/>
    <x v="800"/>
    <x v="0"/>
    <x v="0"/>
    <x v="872"/>
  </r>
  <r>
    <x v="898"/>
    <x v="33"/>
    <x v="1"/>
    <x v="3"/>
    <x v="3"/>
    <x v="3"/>
    <x v="0"/>
    <x v="801"/>
    <x v="0"/>
    <x v="0"/>
    <x v="1"/>
  </r>
  <r>
    <x v="899"/>
    <x v="4"/>
    <x v="18"/>
    <x v="1"/>
    <x v="1"/>
    <x v="22"/>
    <x v="1"/>
    <x v="409"/>
    <x v="0"/>
    <x v="0"/>
    <x v="873"/>
  </r>
  <r>
    <x v="900"/>
    <x v="16"/>
    <x v="7"/>
    <x v="3"/>
    <x v="3"/>
    <x v="4"/>
    <x v="0"/>
    <x v="802"/>
    <x v="0"/>
    <x v="0"/>
    <x v="874"/>
  </r>
  <r>
    <x v="901"/>
    <x v="14"/>
    <x v="11"/>
    <x v="3"/>
    <x v="3"/>
    <x v="16"/>
    <x v="0"/>
    <x v="803"/>
    <x v="0"/>
    <x v="0"/>
    <x v="875"/>
  </r>
  <r>
    <x v="902"/>
    <x v="19"/>
    <x v="13"/>
    <x v="4"/>
    <x v="5"/>
    <x v="25"/>
    <x v="0"/>
    <x v="804"/>
    <x v="117"/>
    <x v="1"/>
    <x v="876"/>
  </r>
  <r>
    <x v="903"/>
    <x v="8"/>
    <x v="16"/>
    <x v="4"/>
    <x v="4"/>
    <x v="3"/>
    <x v="1"/>
    <x v="805"/>
    <x v="0"/>
    <x v="0"/>
    <x v="877"/>
  </r>
  <r>
    <x v="904"/>
    <x v="28"/>
    <x v="22"/>
    <x v="1"/>
    <x v="11"/>
    <x v="16"/>
    <x v="0"/>
    <x v="142"/>
    <x v="0"/>
    <x v="0"/>
    <x v="878"/>
  </r>
  <r>
    <x v="905"/>
    <x v="16"/>
    <x v="2"/>
    <x v="1"/>
    <x v="14"/>
    <x v="34"/>
    <x v="0"/>
    <x v="806"/>
    <x v="0"/>
    <x v="0"/>
    <x v="879"/>
  </r>
  <r>
    <x v="906"/>
    <x v="13"/>
    <x v="18"/>
    <x v="1"/>
    <x v="1"/>
    <x v="20"/>
    <x v="0"/>
    <x v="807"/>
    <x v="0"/>
    <x v="0"/>
    <x v="880"/>
  </r>
  <r>
    <x v="907"/>
    <x v="28"/>
    <x v="20"/>
    <x v="1"/>
    <x v="12"/>
    <x v="25"/>
    <x v="1"/>
    <x v="808"/>
    <x v="0"/>
    <x v="0"/>
    <x v="881"/>
  </r>
  <r>
    <x v="908"/>
    <x v="28"/>
    <x v="5"/>
    <x v="1"/>
    <x v="14"/>
    <x v="16"/>
    <x v="1"/>
    <x v="809"/>
    <x v="0"/>
    <x v="0"/>
    <x v="882"/>
  </r>
  <r>
    <x v="909"/>
    <x v="2"/>
    <x v="0"/>
    <x v="4"/>
    <x v="4"/>
    <x v="8"/>
    <x v="1"/>
    <x v="810"/>
    <x v="0"/>
    <x v="0"/>
    <x v="883"/>
  </r>
  <r>
    <x v="910"/>
    <x v="21"/>
    <x v="12"/>
    <x v="5"/>
    <x v="7"/>
    <x v="4"/>
    <x v="0"/>
    <x v="811"/>
    <x v="0"/>
    <x v="0"/>
    <x v="884"/>
  </r>
  <r>
    <x v="911"/>
    <x v="32"/>
    <x v="12"/>
    <x v="5"/>
    <x v="15"/>
    <x v="19"/>
    <x v="0"/>
    <x v="812"/>
    <x v="0"/>
    <x v="0"/>
    <x v="885"/>
  </r>
  <r>
    <x v="912"/>
    <x v="32"/>
    <x v="0"/>
    <x v="3"/>
    <x v="3"/>
    <x v="21"/>
    <x v="0"/>
    <x v="813"/>
    <x v="118"/>
    <x v="1"/>
    <x v="886"/>
  </r>
  <r>
    <x v="913"/>
    <x v="29"/>
    <x v="1"/>
    <x v="2"/>
    <x v="6"/>
    <x v="17"/>
    <x v="0"/>
    <x v="814"/>
    <x v="0"/>
    <x v="0"/>
    <x v="887"/>
  </r>
  <r>
    <x v="914"/>
    <x v="14"/>
    <x v="19"/>
    <x v="4"/>
    <x v="8"/>
    <x v="3"/>
    <x v="0"/>
    <x v="815"/>
    <x v="0"/>
    <x v="0"/>
    <x v="888"/>
  </r>
  <r>
    <x v="915"/>
    <x v="12"/>
    <x v="13"/>
    <x v="2"/>
    <x v="2"/>
    <x v="20"/>
    <x v="0"/>
    <x v="303"/>
    <x v="119"/>
    <x v="1"/>
    <x v="889"/>
  </r>
  <r>
    <x v="916"/>
    <x v="17"/>
    <x v="18"/>
    <x v="1"/>
    <x v="14"/>
    <x v="19"/>
    <x v="0"/>
    <x v="816"/>
    <x v="120"/>
    <x v="1"/>
    <x v="890"/>
  </r>
  <r>
    <x v="917"/>
    <x v="24"/>
    <x v="3"/>
    <x v="1"/>
    <x v="14"/>
    <x v="23"/>
    <x v="0"/>
    <x v="536"/>
    <x v="0"/>
    <x v="0"/>
    <x v="891"/>
  </r>
  <r>
    <x v="918"/>
    <x v="33"/>
    <x v="14"/>
    <x v="1"/>
    <x v="14"/>
    <x v="4"/>
    <x v="1"/>
    <x v="817"/>
    <x v="0"/>
    <x v="0"/>
    <x v="892"/>
  </r>
  <r>
    <x v="919"/>
    <x v="2"/>
    <x v="9"/>
    <x v="4"/>
    <x v="5"/>
    <x v="7"/>
    <x v="0"/>
    <x v="818"/>
    <x v="0"/>
    <x v="0"/>
    <x v="893"/>
  </r>
  <r>
    <x v="920"/>
    <x v="33"/>
    <x v="11"/>
    <x v="1"/>
    <x v="1"/>
    <x v="10"/>
    <x v="1"/>
    <x v="819"/>
    <x v="0"/>
    <x v="0"/>
    <x v="894"/>
  </r>
  <r>
    <x v="921"/>
    <x v="23"/>
    <x v="14"/>
    <x v="4"/>
    <x v="4"/>
    <x v="3"/>
    <x v="0"/>
    <x v="820"/>
    <x v="0"/>
    <x v="0"/>
    <x v="895"/>
  </r>
  <r>
    <x v="922"/>
    <x v="19"/>
    <x v="0"/>
    <x v="1"/>
    <x v="14"/>
    <x v="19"/>
    <x v="0"/>
    <x v="821"/>
    <x v="0"/>
    <x v="0"/>
    <x v="896"/>
  </r>
  <r>
    <x v="923"/>
    <x v="39"/>
    <x v="22"/>
    <x v="0"/>
    <x v="9"/>
    <x v="26"/>
    <x v="1"/>
    <x v="822"/>
    <x v="0"/>
    <x v="0"/>
    <x v="897"/>
  </r>
  <r>
    <x v="924"/>
    <x v="37"/>
    <x v="12"/>
    <x v="3"/>
    <x v="3"/>
    <x v="19"/>
    <x v="1"/>
    <x v="377"/>
    <x v="0"/>
    <x v="0"/>
    <x v="898"/>
  </r>
  <r>
    <x v="925"/>
    <x v="34"/>
    <x v="7"/>
    <x v="4"/>
    <x v="4"/>
    <x v="19"/>
    <x v="0"/>
    <x v="823"/>
    <x v="0"/>
    <x v="0"/>
    <x v="899"/>
  </r>
  <r>
    <x v="926"/>
    <x v="9"/>
    <x v="7"/>
    <x v="2"/>
    <x v="13"/>
    <x v="5"/>
    <x v="0"/>
    <x v="824"/>
    <x v="0"/>
    <x v="0"/>
    <x v="900"/>
  </r>
  <r>
    <x v="927"/>
    <x v="30"/>
    <x v="17"/>
    <x v="1"/>
    <x v="11"/>
    <x v="16"/>
    <x v="0"/>
    <x v="225"/>
    <x v="0"/>
    <x v="0"/>
    <x v="901"/>
  </r>
  <r>
    <x v="928"/>
    <x v="35"/>
    <x v="5"/>
    <x v="1"/>
    <x v="1"/>
    <x v="9"/>
    <x v="1"/>
    <x v="825"/>
    <x v="0"/>
    <x v="0"/>
    <x v="902"/>
  </r>
  <r>
    <x v="929"/>
    <x v="9"/>
    <x v="19"/>
    <x v="5"/>
    <x v="15"/>
    <x v="16"/>
    <x v="0"/>
    <x v="826"/>
    <x v="0"/>
    <x v="0"/>
    <x v="903"/>
  </r>
  <r>
    <x v="930"/>
    <x v="25"/>
    <x v="13"/>
    <x v="2"/>
    <x v="13"/>
    <x v="10"/>
    <x v="1"/>
    <x v="827"/>
    <x v="0"/>
    <x v="0"/>
    <x v="904"/>
  </r>
  <r>
    <x v="931"/>
    <x v="19"/>
    <x v="6"/>
    <x v="5"/>
    <x v="16"/>
    <x v="5"/>
    <x v="0"/>
    <x v="828"/>
    <x v="0"/>
    <x v="0"/>
    <x v="905"/>
  </r>
  <r>
    <x v="932"/>
    <x v="10"/>
    <x v="13"/>
    <x v="3"/>
    <x v="10"/>
    <x v="29"/>
    <x v="0"/>
    <x v="829"/>
    <x v="0"/>
    <x v="0"/>
    <x v="356"/>
  </r>
  <r>
    <x v="933"/>
    <x v="16"/>
    <x v="5"/>
    <x v="1"/>
    <x v="14"/>
    <x v="24"/>
    <x v="0"/>
    <x v="728"/>
    <x v="0"/>
    <x v="0"/>
    <x v="906"/>
  </r>
  <r>
    <x v="934"/>
    <x v="30"/>
    <x v="1"/>
    <x v="3"/>
    <x v="10"/>
    <x v="4"/>
    <x v="0"/>
    <x v="830"/>
    <x v="0"/>
    <x v="0"/>
    <x v="907"/>
  </r>
  <r>
    <x v="935"/>
    <x v="21"/>
    <x v="23"/>
    <x v="4"/>
    <x v="5"/>
    <x v="7"/>
    <x v="0"/>
    <x v="831"/>
    <x v="0"/>
    <x v="0"/>
    <x v="908"/>
  </r>
  <r>
    <x v="936"/>
    <x v="8"/>
    <x v="8"/>
    <x v="2"/>
    <x v="13"/>
    <x v="11"/>
    <x v="0"/>
    <x v="832"/>
    <x v="0"/>
    <x v="0"/>
    <x v="909"/>
  </r>
  <r>
    <x v="937"/>
    <x v="3"/>
    <x v="13"/>
    <x v="3"/>
    <x v="3"/>
    <x v="21"/>
    <x v="0"/>
    <x v="229"/>
    <x v="0"/>
    <x v="0"/>
    <x v="910"/>
  </r>
  <r>
    <x v="938"/>
    <x v="17"/>
    <x v="4"/>
    <x v="1"/>
    <x v="1"/>
    <x v="14"/>
    <x v="1"/>
    <x v="833"/>
    <x v="0"/>
    <x v="0"/>
    <x v="911"/>
  </r>
  <r>
    <x v="939"/>
    <x v="30"/>
    <x v="8"/>
    <x v="1"/>
    <x v="12"/>
    <x v="16"/>
    <x v="0"/>
    <x v="834"/>
    <x v="0"/>
    <x v="0"/>
    <x v="912"/>
  </r>
  <r>
    <x v="940"/>
    <x v="15"/>
    <x v="2"/>
    <x v="4"/>
    <x v="5"/>
    <x v="23"/>
    <x v="1"/>
    <x v="670"/>
    <x v="0"/>
    <x v="0"/>
    <x v="913"/>
  </r>
  <r>
    <x v="941"/>
    <x v="17"/>
    <x v="6"/>
    <x v="1"/>
    <x v="12"/>
    <x v="19"/>
    <x v="0"/>
    <x v="835"/>
    <x v="0"/>
    <x v="0"/>
    <x v="914"/>
  </r>
  <r>
    <x v="942"/>
    <x v="4"/>
    <x v="6"/>
    <x v="4"/>
    <x v="4"/>
    <x v="17"/>
    <x v="1"/>
    <x v="836"/>
    <x v="0"/>
    <x v="0"/>
    <x v="915"/>
  </r>
  <r>
    <x v="943"/>
    <x v="11"/>
    <x v="5"/>
    <x v="5"/>
    <x v="16"/>
    <x v="18"/>
    <x v="1"/>
    <x v="837"/>
    <x v="0"/>
    <x v="0"/>
    <x v="916"/>
  </r>
  <r>
    <x v="944"/>
    <x v="9"/>
    <x v="18"/>
    <x v="2"/>
    <x v="13"/>
    <x v="4"/>
    <x v="1"/>
    <x v="838"/>
    <x v="0"/>
    <x v="0"/>
    <x v="917"/>
  </r>
  <r>
    <x v="945"/>
    <x v="27"/>
    <x v="18"/>
    <x v="5"/>
    <x v="16"/>
    <x v="17"/>
    <x v="0"/>
    <x v="89"/>
    <x v="0"/>
    <x v="0"/>
    <x v="918"/>
  </r>
  <r>
    <x v="946"/>
    <x v="4"/>
    <x v="5"/>
    <x v="5"/>
    <x v="16"/>
    <x v="9"/>
    <x v="1"/>
    <x v="839"/>
    <x v="0"/>
    <x v="0"/>
    <x v="919"/>
  </r>
  <r>
    <x v="947"/>
    <x v="25"/>
    <x v="24"/>
    <x v="0"/>
    <x v="9"/>
    <x v="1"/>
    <x v="0"/>
    <x v="840"/>
    <x v="121"/>
    <x v="1"/>
    <x v="920"/>
  </r>
  <r>
    <x v="948"/>
    <x v="29"/>
    <x v="24"/>
    <x v="4"/>
    <x v="4"/>
    <x v="0"/>
    <x v="0"/>
    <x v="841"/>
    <x v="0"/>
    <x v="0"/>
    <x v="1"/>
  </r>
  <r>
    <x v="949"/>
    <x v="7"/>
    <x v="11"/>
    <x v="5"/>
    <x v="7"/>
    <x v="22"/>
    <x v="1"/>
    <x v="496"/>
    <x v="0"/>
    <x v="0"/>
    <x v="921"/>
  </r>
  <r>
    <x v="950"/>
    <x v="18"/>
    <x v="5"/>
    <x v="5"/>
    <x v="16"/>
    <x v="31"/>
    <x v="1"/>
    <x v="842"/>
    <x v="0"/>
    <x v="0"/>
    <x v="922"/>
  </r>
  <r>
    <x v="951"/>
    <x v="3"/>
    <x v="5"/>
    <x v="3"/>
    <x v="3"/>
    <x v="7"/>
    <x v="1"/>
    <x v="843"/>
    <x v="0"/>
    <x v="0"/>
    <x v="923"/>
  </r>
  <r>
    <x v="952"/>
    <x v="16"/>
    <x v="2"/>
    <x v="1"/>
    <x v="11"/>
    <x v="5"/>
    <x v="0"/>
    <x v="844"/>
    <x v="0"/>
    <x v="0"/>
    <x v="924"/>
  </r>
  <r>
    <x v="953"/>
    <x v="11"/>
    <x v="5"/>
    <x v="2"/>
    <x v="6"/>
    <x v="1"/>
    <x v="1"/>
    <x v="322"/>
    <x v="0"/>
    <x v="0"/>
    <x v="925"/>
  </r>
  <r>
    <x v="954"/>
    <x v="11"/>
    <x v="10"/>
    <x v="1"/>
    <x v="1"/>
    <x v="17"/>
    <x v="1"/>
    <x v="845"/>
    <x v="0"/>
    <x v="0"/>
    <x v="926"/>
  </r>
  <r>
    <x v="955"/>
    <x v="36"/>
    <x v="3"/>
    <x v="5"/>
    <x v="16"/>
    <x v="0"/>
    <x v="1"/>
    <x v="846"/>
    <x v="0"/>
    <x v="0"/>
    <x v="927"/>
  </r>
  <r>
    <x v="956"/>
    <x v="4"/>
    <x v="24"/>
    <x v="3"/>
    <x v="3"/>
    <x v="18"/>
    <x v="0"/>
    <x v="847"/>
    <x v="0"/>
    <x v="0"/>
    <x v="928"/>
  </r>
  <r>
    <x v="957"/>
    <x v="14"/>
    <x v="10"/>
    <x v="1"/>
    <x v="11"/>
    <x v="8"/>
    <x v="0"/>
    <x v="848"/>
    <x v="0"/>
    <x v="0"/>
    <x v="929"/>
  </r>
  <r>
    <x v="958"/>
    <x v="31"/>
    <x v="5"/>
    <x v="3"/>
    <x v="3"/>
    <x v="1"/>
    <x v="1"/>
    <x v="849"/>
    <x v="0"/>
    <x v="0"/>
    <x v="930"/>
  </r>
  <r>
    <x v="959"/>
    <x v="23"/>
    <x v="9"/>
    <x v="0"/>
    <x v="0"/>
    <x v="20"/>
    <x v="0"/>
    <x v="850"/>
    <x v="0"/>
    <x v="0"/>
    <x v="931"/>
  </r>
  <r>
    <x v="960"/>
    <x v="2"/>
    <x v="5"/>
    <x v="3"/>
    <x v="3"/>
    <x v="10"/>
    <x v="1"/>
    <x v="338"/>
    <x v="0"/>
    <x v="0"/>
    <x v="932"/>
  </r>
  <r>
    <x v="961"/>
    <x v="33"/>
    <x v="16"/>
    <x v="3"/>
    <x v="10"/>
    <x v="6"/>
    <x v="1"/>
    <x v="851"/>
    <x v="0"/>
    <x v="0"/>
    <x v="933"/>
  </r>
  <r>
    <x v="962"/>
    <x v="10"/>
    <x v="20"/>
    <x v="5"/>
    <x v="15"/>
    <x v="3"/>
    <x v="1"/>
    <x v="21"/>
    <x v="0"/>
    <x v="0"/>
    <x v="934"/>
  </r>
  <r>
    <x v="963"/>
    <x v="0"/>
    <x v="13"/>
    <x v="2"/>
    <x v="6"/>
    <x v="19"/>
    <x v="1"/>
    <x v="448"/>
    <x v="0"/>
    <x v="0"/>
    <x v="935"/>
  </r>
  <r>
    <x v="964"/>
    <x v="30"/>
    <x v="21"/>
    <x v="5"/>
    <x v="16"/>
    <x v="3"/>
    <x v="1"/>
    <x v="852"/>
    <x v="0"/>
    <x v="0"/>
    <x v="936"/>
  </r>
  <r>
    <x v="965"/>
    <x v="37"/>
    <x v="5"/>
    <x v="4"/>
    <x v="8"/>
    <x v="5"/>
    <x v="0"/>
    <x v="853"/>
    <x v="122"/>
    <x v="1"/>
    <x v="937"/>
  </r>
  <r>
    <x v="966"/>
    <x v="26"/>
    <x v="7"/>
    <x v="2"/>
    <x v="13"/>
    <x v="25"/>
    <x v="1"/>
    <x v="854"/>
    <x v="123"/>
    <x v="1"/>
    <x v="938"/>
  </r>
  <r>
    <x v="967"/>
    <x v="27"/>
    <x v="12"/>
    <x v="2"/>
    <x v="2"/>
    <x v="23"/>
    <x v="0"/>
    <x v="855"/>
    <x v="0"/>
    <x v="0"/>
    <x v="939"/>
  </r>
  <r>
    <x v="968"/>
    <x v="23"/>
    <x v="1"/>
    <x v="5"/>
    <x v="7"/>
    <x v="1"/>
    <x v="0"/>
    <x v="15"/>
    <x v="0"/>
    <x v="0"/>
    <x v="940"/>
  </r>
  <r>
    <x v="969"/>
    <x v="17"/>
    <x v="6"/>
    <x v="2"/>
    <x v="2"/>
    <x v="18"/>
    <x v="1"/>
    <x v="430"/>
    <x v="0"/>
    <x v="0"/>
    <x v="941"/>
  </r>
  <r>
    <x v="970"/>
    <x v="26"/>
    <x v="10"/>
    <x v="4"/>
    <x v="4"/>
    <x v="29"/>
    <x v="0"/>
    <x v="856"/>
    <x v="124"/>
    <x v="1"/>
    <x v="942"/>
  </r>
  <r>
    <x v="971"/>
    <x v="12"/>
    <x v="14"/>
    <x v="3"/>
    <x v="10"/>
    <x v="7"/>
    <x v="0"/>
    <x v="857"/>
    <x v="0"/>
    <x v="0"/>
    <x v="943"/>
  </r>
  <r>
    <x v="972"/>
    <x v="7"/>
    <x v="24"/>
    <x v="1"/>
    <x v="1"/>
    <x v="14"/>
    <x v="0"/>
    <x v="620"/>
    <x v="0"/>
    <x v="0"/>
    <x v="944"/>
  </r>
  <r>
    <x v="973"/>
    <x v="28"/>
    <x v="6"/>
    <x v="0"/>
    <x v="9"/>
    <x v="7"/>
    <x v="0"/>
    <x v="858"/>
    <x v="125"/>
    <x v="1"/>
    <x v="945"/>
  </r>
  <r>
    <x v="974"/>
    <x v="20"/>
    <x v="11"/>
    <x v="4"/>
    <x v="4"/>
    <x v="8"/>
    <x v="0"/>
    <x v="859"/>
    <x v="126"/>
    <x v="1"/>
    <x v="946"/>
  </r>
  <r>
    <x v="975"/>
    <x v="5"/>
    <x v="17"/>
    <x v="1"/>
    <x v="11"/>
    <x v="2"/>
    <x v="1"/>
    <x v="24"/>
    <x v="0"/>
    <x v="0"/>
    <x v="947"/>
  </r>
  <r>
    <x v="976"/>
    <x v="22"/>
    <x v="15"/>
    <x v="5"/>
    <x v="16"/>
    <x v="9"/>
    <x v="0"/>
    <x v="860"/>
    <x v="127"/>
    <x v="1"/>
    <x v="948"/>
  </r>
  <r>
    <x v="977"/>
    <x v="0"/>
    <x v="17"/>
    <x v="3"/>
    <x v="3"/>
    <x v="2"/>
    <x v="0"/>
    <x v="861"/>
    <x v="0"/>
    <x v="0"/>
    <x v="949"/>
  </r>
  <r>
    <x v="978"/>
    <x v="20"/>
    <x v="8"/>
    <x v="3"/>
    <x v="10"/>
    <x v="13"/>
    <x v="1"/>
    <x v="862"/>
    <x v="0"/>
    <x v="0"/>
    <x v="950"/>
  </r>
  <r>
    <x v="979"/>
    <x v="11"/>
    <x v="6"/>
    <x v="3"/>
    <x v="3"/>
    <x v="21"/>
    <x v="1"/>
    <x v="863"/>
    <x v="0"/>
    <x v="0"/>
    <x v="951"/>
  </r>
  <r>
    <x v="980"/>
    <x v="24"/>
    <x v="13"/>
    <x v="2"/>
    <x v="2"/>
    <x v="1"/>
    <x v="1"/>
    <x v="864"/>
    <x v="0"/>
    <x v="0"/>
    <x v="952"/>
  </r>
  <r>
    <x v="981"/>
    <x v="24"/>
    <x v="19"/>
    <x v="0"/>
    <x v="9"/>
    <x v="5"/>
    <x v="1"/>
    <x v="865"/>
    <x v="0"/>
    <x v="0"/>
    <x v="953"/>
  </r>
  <r>
    <x v="982"/>
    <x v="30"/>
    <x v="24"/>
    <x v="2"/>
    <x v="6"/>
    <x v="14"/>
    <x v="1"/>
    <x v="866"/>
    <x v="0"/>
    <x v="0"/>
    <x v="954"/>
  </r>
  <r>
    <x v="983"/>
    <x v="23"/>
    <x v="22"/>
    <x v="1"/>
    <x v="1"/>
    <x v="8"/>
    <x v="0"/>
    <x v="613"/>
    <x v="0"/>
    <x v="0"/>
    <x v="955"/>
  </r>
  <r>
    <x v="984"/>
    <x v="24"/>
    <x v="3"/>
    <x v="4"/>
    <x v="4"/>
    <x v="22"/>
    <x v="1"/>
    <x v="867"/>
    <x v="0"/>
    <x v="0"/>
    <x v="956"/>
  </r>
  <r>
    <x v="985"/>
    <x v="19"/>
    <x v="9"/>
    <x v="1"/>
    <x v="1"/>
    <x v="12"/>
    <x v="1"/>
    <x v="868"/>
    <x v="0"/>
    <x v="0"/>
    <x v="957"/>
  </r>
  <r>
    <x v="986"/>
    <x v="36"/>
    <x v="10"/>
    <x v="3"/>
    <x v="10"/>
    <x v="21"/>
    <x v="1"/>
    <x v="869"/>
    <x v="0"/>
    <x v="0"/>
    <x v="958"/>
  </r>
  <r>
    <x v="987"/>
    <x v="2"/>
    <x v="18"/>
    <x v="1"/>
    <x v="1"/>
    <x v="10"/>
    <x v="0"/>
    <x v="252"/>
    <x v="0"/>
    <x v="0"/>
    <x v="959"/>
  </r>
  <r>
    <x v="988"/>
    <x v="2"/>
    <x v="24"/>
    <x v="4"/>
    <x v="8"/>
    <x v="23"/>
    <x v="1"/>
    <x v="724"/>
    <x v="0"/>
    <x v="0"/>
    <x v="960"/>
  </r>
  <r>
    <x v="989"/>
    <x v="1"/>
    <x v="2"/>
    <x v="3"/>
    <x v="3"/>
    <x v="17"/>
    <x v="1"/>
    <x v="870"/>
    <x v="0"/>
    <x v="0"/>
    <x v="961"/>
  </r>
  <r>
    <x v="990"/>
    <x v="10"/>
    <x v="10"/>
    <x v="4"/>
    <x v="8"/>
    <x v="14"/>
    <x v="0"/>
    <x v="737"/>
    <x v="0"/>
    <x v="0"/>
    <x v="962"/>
  </r>
  <r>
    <x v="991"/>
    <x v="15"/>
    <x v="16"/>
    <x v="5"/>
    <x v="15"/>
    <x v="1"/>
    <x v="0"/>
    <x v="871"/>
    <x v="0"/>
    <x v="0"/>
    <x v="963"/>
  </r>
  <r>
    <x v="992"/>
    <x v="3"/>
    <x v="3"/>
    <x v="4"/>
    <x v="5"/>
    <x v="12"/>
    <x v="0"/>
    <x v="872"/>
    <x v="0"/>
    <x v="0"/>
    <x v="964"/>
  </r>
  <r>
    <x v="993"/>
    <x v="18"/>
    <x v="9"/>
    <x v="1"/>
    <x v="12"/>
    <x v="3"/>
    <x v="1"/>
    <x v="873"/>
    <x v="0"/>
    <x v="0"/>
    <x v="965"/>
  </r>
  <r>
    <x v="994"/>
    <x v="6"/>
    <x v="14"/>
    <x v="1"/>
    <x v="1"/>
    <x v="21"/>
    <x v="0"/>
    <x v="874"/>
    <x v="0"/>
    <x v="0"/>
    <x v="966"/>
  </r>
  <r>
    <x v="995"/>
    <x v="29"/>
    <x v="10"/>
    <x v="1"/>
    <x v="12"/>
    <x v="31"/>
    <x v="1"/>
    <x v="875"/>
    <x v="0"/>
    <x v="0"/>
    <x v="967"/>
  </r>
  <r>
    <x v="996"/>
    <x v="19"/>
    <x v="13"/>
    <x v="3"/>
    <x v="10"/>
    <x v="17"/>
    <x v="0"/>
    <x v="876"/>
    <x v="128"/>
    <x v="1"/>
    <x v="968"/>
  </r>
  <r>
    <x v="997"/>
    <x v="32"/>
    <x v="22"/>
    <x v="2"/>
    <x v="2"/>
    <x v="13"/>
    <x v="1"/>
    <x v="441"/>
    <x v="0"/>
    <x v="0"/>
    <x v="969"/>
  </r>
  <r>
    <x v="998"/>
    <x v="6"/>
    <x v="23"/>
    <x v="2"/>
    <x v="13"/>
    <x v="19"/>
    <x v="0"/>
    <x v="56"/>
    <x v="0"/>
    <x v="0"/>
    <x v="970"/>
  </r>
  <r>
    <x v="999"/>
    <x v="20"/>
    <x v="4"/>
    <x v="4"/>
    <x v="5"/>
    <x v="10"/>
    <x v="0"/>
    <x v="877"/>
    <x v="0"/>
    <x v="0"/>
    <x v="971"/>
  </r>
  <r>
    <x v="1000"/>
    <x v="29"/>
    <x v="19"/>
    <x v="1"/>
    <x v="1"/>
    <x v="12"/>
    <x v="0"/>
    <x v="878"/>
    <x v="0"/>
    <x v="0"/>
    <x v="972"/>
  </r>
  <r>
    <x v="1001"/>
    <x v="26"/>
    <x v="15"/>
    <x v="1"/>
    <x v="11"/>
    <x v="10"/>
    <x v="1"/>
    <x v="879"/>
    <x v="0"/>
    <x v="0"/>
    <x v="973"/>
  </r>
  <r>
    <x v="1002"/>
    <x v="18"/>
    <x v="19"/>
    <x v="4"/>
    <x v="5"/>
    <x v="20"/>
    <x v="0"/>
    <x v="880"/>
    <x v="0"/>
    <x v="0"/>
    <x v="974"/>
  </r>
  <r>
    <x v="1003"/>
    <x v="35"/>
    <x v="17"/>
    <x v="2"/>
    <x v="6"/>
    <x v="3"/>
    <x v="0"/>
    <x v="881"/>
    <x v="0"/>
    <x v="0"/>
    <x v="975"/>
  </r>
  <r>
    <x v="1004"/>
    <x v="30"/>
    <x v="3"/>
    <x v="0"/>
    <x v="9"/>
    <x v="7"/>
    <x v="1"/>
    <x v="882"/>
    <x v="0"/>
    <x v="0"/>
    <x v="976"/>
  </r>
  <r>
    <x v="1005"/>
    <x v="30"/>
    <x v="8"/>
    <x v="4"/>
    <x v="8"/>
    <x v="7"/>
    <x v="0"/>
    <x v="883"/>
    <x v="0"/>
    <x v="0"/>
    <x v="977"/>
  </r>
  <r>
    <x v="1006"/>
    <x v="7"/>
    <x v="7"/>
    <x v="2"/>
    <x v="2"/>
    <x v="16"/>
    <x v="0"/>
    <x v="625"/>
    <x v="0"/>
    <x v="0"/>
    <x v="978"/>
  </r>
  <r>
    <x v="1007"/>
    <x v="17"/>
    <x v="6"/>
    <x v="1"/>
    <x v="14"/>
    <x v="10"/>
    <x v="0"/>
    <x v="884"/>
    <x v="0"/>
    <x v="0"/>
    <x v="979"/>
  </r>
  <r>
    <x v="1008"/>
    <x v="32"/>
    <x v="23"/>
    <x v="1"/>
    <x v="11"/>
    <x v="6"/>
    <x v="0"/>
    <x v="755"/>
    <x v="0"/>
    <x v="0"/>
    <x v="980"/>
  </r>
  <r>
    <x v="1009"/>
    <x v="15"/>
    <x v="18"/>
    <x v="2"/>
    <x v="2"/>
    <x v="20"/>
    <x v="1"/>
    <x v="885"/>
    <x v="0"/>
    <x v="0"/>
    <x v="981"/>
  </r>
  <r>
    <x v="1010"/>
    <x v="15"/>
    <x v="11"/>
    <x v="0"/>
    <x v="9"/>
    <x v="16"/>
    <x v="0"/>
    <x v="886"/>
    <x v="0"/>
    <x v="0"/>
    <x v="982"/>
  </r>
  <r>
    <x v="1011"/>
    <x v="24"/>
    <x v="20"/>
    <x v="5"/>
    <x v="16"/>
    <x v="23"/>
    <x v="1"/>
    <x v="400"/>
    <x v="0"/>
    <x v="0"/>
    <x v="983"/>
  </r>
  <r>
    <x v="1012"/>
    <x v="16"/>
    <x v="21"/>
    <x v="3"/>
    <x v="3"/>
    <x v="8"/>
    <x v="0"/>
    <x v="311"/>
    <x v="0"/>
    <x v="0"/>
    <x v="984"/>
  </r>
  <r>
    <x v="1013"/>
    <x v="32"/>
    <x v="14"/>
    <x v="3"/>
    <x v="3"/>
    <x v="7"/>
    <x v="0"/>
    <x v="887"/>
    <x v="0"/>
    <x v="0"/>
    <x v="985"/>
  </r>
  <r>
    <x v="1014"/>
    <x v="31"/>
    <x v="10"/>
    <x v="1"/>
    <x v="1"/>
    <x v="16"/>
    <x v="1"/>
    <x v="888"/>
    <x v="0"/>
    <x v="0"/>
    <x v="986"/>
  </r>
  <r>
    <x v="1015"/>
    <x v="26"/>
    <x v="2"/>
    <x v="3"/>
    <x v="10"/>
    <x v="21"/>
    <x v="0"/>
    <x v="889"/>
    <x v="0"/>
    <x v="0"/>
    <x v="987"/>
  </r>
  <r>
    <x v="1016"/>
    <x v="7"/>
    <x v="1"/>
    <x v="4"/>
    <x v="5"/>
    <x v="0"/>
    <x v="0"/>
    <x v="890"/>
    <x v="0"/>
    <x v="0"/>
    <x v="988"/>
  </r>
  <r>
    <x v="1017"/>
    <x v="33"/>
    <x v="13"/>
    <x v="5"/>
    <x v="7"/>
    <x v="18"/>
    <x v="0"/>
    <x v="891"/>
    <x v="0"/>
    <x v="0"/>
    <x v="989"/>
  </r>
  <r>
    <x v="1018"/>
    <x v="31"/>
    <x v="21"/>
    <x v="4"/>
    <x v="8"/>
    <x v="10"/>
    <x v="1"/>
    <x v="892"/>
    <x v="0"/>
    <x v="0"/>
    <x v="990"/>
  </r>
  <r>
    <x v="1019"/>
    <x v="23"/>
    <x v="15"/>
    <x v="3"/>
    <x v="3"/>
    <x v="18"/>
    <x v="0"/>
    <x v="420"/>
    <x v="0"/>
    <x v="0"/>
    <x v="991"/>
  </r>
  <r>
    <x v="1020"/>
    <x v="1"/>
    <x v="6"/>
    <x v="2"/>
    <x v="6"/>
    <x v="16"/>
    <x v="1"/>
    <x v="893"/>
    <x v="0"/>
    <x v="0"/>
    <x v="992"/>
  </r>
  <r>
    <x v="1021"/>
    <x v="21"/>
    <x v="16"/>
    <x v="5"/>
    <x v="15"/>
    <x v="12"/>
    <x v="1"/>
    <x v="393"/>
    <x v="0"/>
    <x v="0"/>
    <x v="993"/>
  </r>
  <r>
    <x v="1022"/>
    <x v="37"/>
    <x v="9"/>
    <x v="1"/>
    <x v="14"/>
    <x v="7"/>
    <x v="0"/>
    <x v="894"/>
    <x v="0"/>
    <x v="0"/>
    <x v="994"/>
  </r>
  <r>
    <x v="1023"/>
    <x v="1"/>
    <x v="2"/>
    <x v="0"/>
    <x v="9"/>
    <x v="0"/>
    <x v="1"/>
    <x v="895"/>
    <x v="0"/>
    <x v="0"/>
    <x v="995"/>
  </r>
  <r>
    <x v="1024"/>
    <x v="22"/>
    <x v="10"/>
    <x v="1"/>
    <x v="12"/>
    <x v="6"/>
    <x v="0"/>
    <x v="896"/>
    <x v="129"/>
    <x v="1"/>
    <x v="996"/>
  </r>
  <r>
    <x v="1025"/>
    <x v="10"/>
    <x v="20"/>
    <x v="1"/>
    <x v="11"/>
    <x v="4"/>
    <x v="0"/>
    <x v="897"/>
    <x v="130"/>
    <x v="1"/>
    <x v="997"/>
  </r>
  <r>
    <x v="1026"/>
    <x v="25"/>
    <x v="22"/>
    <x v="4"/>
    <x v="5"/>
    <x v="4"/>
    <x v="1"/>
    <x v="898"/>
    <x v="62"/>
    <x v="1"/>
    <x v="998"/>
  </r>
  <r>
    <x v="1027"/>
    <x v="2"/>
    <x v="19"/>
    <x v="1"/>
    <x v="14"/>
    <x v="3"/>
    <x v="0"/>
    <x v="899"/>
    <x v="0"/>
    <x v="0"/>
    <x v="999"/>
  </r>
  <r>
    <x v="1028"/>
    <x v="10"/>
    <x v="6"/>
    <x v="1"/>
    <x v="12"/>
    <x v="15"/>
    <x v="0"/>
    <x v="577"/>
    <x v="0"/>
    <x v="0"/>
    <x v="1000"/>
  </r>
  <r>
    <x v="1029"/>
    <x v="23"/>
    <x v="17"/>
    <x v="1"/>
    <x v="12"/>
    <x v="23"/>
    <x v="1"/>
    <x v="900"/>
    <x v="0"/>
    <x v="0"/>
    <x v="1001"/>
  </r>
  <r>
    <x v="1030"/>
    <x v="16"/>
    <x v="5"/>
    <x v="3"/>
    <x v="10"/>
    <x v="10"/>
    <x v="1"/>
    <x v="901"/>
    <x v="0"/>
    <x v="0"/>
    <x v="1002"/>
  </r>
  <r>
    <x v="1031"/>
    <x v="4"/>
    <x v="1"/>
    <x v="1"/>
    <x v="14"/>
    <x v="25"/>
    <x v="1"/>
    <x v="902"/>
    <x v="0"/>
    <x v="0"/>
    <x v="1003"/>
  </r>
  <r>
    <x v="1032"/>
    <x v="3"/>
    <x v="7"/>
    <x v="1"/>
    <x v="1"/>
    <x v="2"/>
    <x v="0"/>
    <x v="903"/>
    <x v="0"/>
    <x v="0"/>
    <x v="1004"/>
  </r>
  <r>
    <x v="1033"/>
    <x v="7"/>
    <x v="9"/>
    <x v="1"/>
    <x v="14"/>
    <x v="3"/>
    <x v="1"/>
    <x v="904"/>
    <x v="0"/>
    <x v="0"/>
    <x v="1005"/>
  </r>
  <r>
    <x v="1034"/>
    <x v="16"/>
    <x v="3"/>
    <x v="3"/>
    <x v="3"/>
    <x v="11"/>
    <x v="0"/>
    <x v="905"/>
    <x v="131"/>
    <x v="1"/>
    <x v="1006"/>
  </r>
  <r>
    <x v="1035"/>
    <x v="28"/>
    <x v="24"/>
    <x v="4"/>
    <x v="4"/>
    <x v="23"/>
    <x v="0"/>
    <x v="906"/>
    <x v="0"/>
    <x v="0"/>
    <x v="1007"/>
  </r>
  <r>
    <x v="1036"/>
    <x v="27"/>
    <x v="2"/>
    <x v="3"/>
    <x v="10"/>
    <x v="24"/>
    <x v="0"/>
    <x v="636"/>
    <x v="0"/>
    <x v="0"/>
    <x v="1008"/>
  </r>
  <r>
    <x v="1037"/>
    <x v="0"/>
    <x v="10"/>
    <x v="1"/>
    <x v="11"/>
    <x v="25"/>
    <x v="1"/>
    <x v="907"/>
    <x v="0"/>
    <x v="0"/>
    <x v="1009"/>
  </r>
  <r>
    <x v="1038"/>
    <x v="6"/>
    <x v="14"/>
    <x v="0"/>
    <x v="9"/>
    <x v="1"/>
    <x v="1"/>
    <x v="344"/>
    <x v="0"/>
    <x v="0"/>
    <x v="1010"/>
  </r>
  <r>
    <x v="1039"/>
    <x v="17"/>
    <x v="1"/>
    <x v="3"/>
    <x v="3"/>
    <x v="14"/>
    <x v="1"/>
    <x v="908"/>
    <x v="0"/>
    <x v="0"/>
    <x v="1011"/>
  </r>
  <r>
    <x v="1040"/>
    <x v="21"/>
    <x v="9"/>
    <x v="1"/>
    <x v="12"/>
    <x v="19"/>
    <x v="0"/>
    <x v="547"/>
    <x v="0"/>
    <x v="0"/>
    <x v="1012"/>
  </r>
  <r>
    <x v="1041"/>
    <x v="16"/>
    <x v="7"/>
    <x v="1"/>
    <x v="11"/>
    <x v="16"/>
    <x v="1"/>
    <x v="909"/>
    <x v="0"/>
    <x v="0"/>
    <x v="1013"/>
  </r>
  <r>
    <x v="1042"/>
    <x v="16"/>
    <x v="5"/>
    <x v="3"/>
    <x v="10"/>
    <x v="14"/>
    <x v="1"/>
    <x v="910"/>
    <x v="0"/>
    <x v="0"/>
    <x v="1014"/>
  </r>
  <r>
    <x v="1043"/>
    <x v="13"/>
    <x v="18"/>
    <x v="2"/>
    <x v="2"/>
    <x v="6"/>
    <x v="0"/>
    <x v="890"/>
    <x v="0"/>
    <x v="0"/>
    <x v="1015"/>
  </r>
  <r>
    <x v="1044"/>
    <x v="23"/>
    <x v="16"/>
    <x v="0"/>
    <x v="0"/>
    <x v="8"/>
    <x v="1"/>
    <x v="911"/>
    <x v="0"/>
    <x v="0"/>
    <x v="1016"/>
  </r>
  <r>
    <x v="1045"/>
    <x v="30"/>
    <x v="14"/>
    <x v="3"/>
    <x v="10"/>
    <x v="8"/>
    <x v="0"/>
    <x v="912"/>
    <x v="0"/>
    <x v="0"/>
    <x v="1017"/>
  </r>
  <r>
    <x v="1046"/>
    <x v="18"/>
    <x v="23"/>
    <x v="3"/>
    <x v="10"/>
    <x v="2"/>
    <x v="1"/>
    <x v="913"/>
    <x v="0"/>
    <x v="0"/>
    <x v="1018"/>
  </r>
  <r>
    <x v="1047"/>
    <x v="39"/>
    <x v="22"/>
    <x v="0"/>
    <x v="0"/>
    <x v="7"/>
    <x v="0"/>
    <x v="914"/>
    <x v="0"/>
    <x v="0"/>
    <x v="1019"/>
  </r>
  <r>
    <x v="1048"/>
    <x v="34"/>
    <x v="8"/>
    <x v="2"/>
    <x v="6"/>
    <x v="11"/>
    <x v="1"/>
    <x v="915"/>
    <x v="0"/>
    <x v="0"/>
    <x v="54"/>
  </r>
  <r>
    <x v="1049"/>
    <x v="31"/>
    <x v="12"/>
    <x v="1"/>
    <x v="12"/>
    <x v="20"/>
    <x v="0"/>
    <x v="916"/>
    <x v="132"/>
    <x v="1"/>
    <x v="1020"/>
  </r>
  <r>
    <x v="1050"/>
    <x v="12"/>
    <x v="9"/>
    <x v="1"/>
    <x v="14"/>
    <x v="5"/>
    <x v="0"/>
    <x v="424"/>
    <x v="0"/>
    <x v="0"/>
    <x v="1021"/>
  </r>
  <r>
    <x v="1051"/>
    <x v="26"/>
    <x v="2"/>
    <x v="1"/>
    <x v="11"/>
    <x v="1"/>
    <x v="0"/>
    <x v="917"/>
    <x v="0"/>
    <x v="0"/>
    <x v="1022"/>
  </r>
  <r>
    <x v="1052"/>
    <x v="32"/>
    <x v="10"/>
    <x v="2"/>
    <x v="13"/>
    <x v="14"/>
    <x v="0"/>
    <x v="918"/>
    <x v="0"/>
    <x v="0"/>
    <x v="1023"/>
  </r>
  <r>
    <x v="1053"/>
    <x v="16"/>
    <x v="20"/>
    <x v="1"/>
    <x v="14"/>
    <x v="3"/>
    <x v="0"/>
    <x v="919"/>
    <x v="0"/>
    <x v="0"/>
    <x v="1024"/>
  </r>
  <r>
    <x v="1054"/>
    <x v="38"/>
    <x v="7"/>
    <x v="4"/>
    <x v="8"/>
    <x v="12"/>
    <x v="0"/>
    <x v="920"/>
    <x v="0"/>
    <x v="0"/>
    <x v="1025"/>
  </r>
  <r>
    <x v="1055"/>
    <x v="15"/>
    <x v="20"/>
    <x v="3"/>
    <x v="10"/>
    <x v="24"/>
    <x v="1"/>
    <x v="73"/>
    <x v="0"/>
    <x v="0"/>
    <x v="1026"/>
  </r>
  <r>
    <x v="1056"/>
    <x v="2"/>
    <x v="3"/>
    <x v="4"/>
    <x v="8"/>
    <x v="2"/>
    <x v="1"/>
    <x v="921"/>
    <x v="0"/>
    <x v="0"/>
    <x v="1027"/>
  </r>
  <r>
    <x v="1057"/>
    <x v="20"/>
    <x v="17"/>
    <x v="5"/>
    <x v="16"/>
    <x v="2"/>
    <x v="0"/>
    <x v="715"/>
    <x v="0"/>
    <x v="0"/>
    <x v="1028"/>
  </r>
  <r>
    <x v="1058"/>
    <x v="34"/>
    <x v="19"/>
    <x v="4"/>
    <x v="5"/>
    <x v="19"/>
    <x v="0"/>
    <x v="375"/>
    <x v="0"/>
    <x v="0"/>
    <x v="1029"/>
  </r>
  <r>
    <x v="1059"/>
    <x v="1"/>
    <x v="17"/>
    <x v="4"/>
    <x v="4"/>
    <x v="6"/>
    <x v="0"/>
    <x v="913"/>
    <x v="0"/>
    <x v="0"/>
    <x v="1030"/>
  </r>
  <r>
    <x v="1060"/>
    <x v="30"/>
    <x v="2"/>
    <x v="4"/>
    <x v="5"/>
    <x v="7"/>
    <x v="1"/>
    <x v="922"/>
    <x v="0"/>
    <x v="0"/>
    <x v="1031"/>
  </r>
  <r>
    <x v="1061"/>
    <x v="10"/>
    <x v="12"/>
    <x v="4"/>
    <x v="8"/>
    <x v="14"/>
    <x v="0"/>
    <x v="923"/>
    <x v="0"/>
    <x v="0"/>
    <x v="1032"/>
  </r>
  <r>
    <x v="1062"/>
    <x v="17"/>
    <x v="1"/>
    <x v="1"/>
    <x v="14"/>
    <x v="10"/>
    <x v="1"/>
    <x v="924"/>
    <x v="0"/>
    <x v="0"/>
    <x v="1033"/>
  </r>
  <r>
    <x v="1063"/>
    <x v="19"/>
    <x v="19"/>
    <x v="4"/>
    <x v="5"/>
    <x v="1"/>
    <x v="0"/>
    <x v="808"/>
    <x v="0"/>
    <x v="0"/>
    <x v="1034"/>
  </r>
  <r>
    <x v="1064"/>
    <x v="35"/>
    <x v="10"/>
    <x v="4"/>
    <x v="8"/>
    <x v="3"/>
    <x v="0"/>
    <x v="498"/>
    <x v="0"/>
    <x v="0"/>
    <x v="1035"/>
  </r>
  <r>
    <x v="1065"/>
    <x v="25"/>
    <x v="14"/>
    <x v="1"/>
    <x v="1"/>
    <x v="2"/>
    <x v="0"/>
    <x v="925"/>
    <x v="0"/>
    <x v="0"/>
    <x v="1"/>
  </r>
  <r>
    <x v="1066"/>
    <x v="32"/>
    <x v="12"/>
    <x v="3"/>
    <x v="3"/>
    <x v="12"/>
    <x v="0"/>
    <x v="926"/>
    <x v="0"/>
    <x v="0"/>
    <x v="1036"/>
  </r>
  <r>
    <x v="1067"/>
    <x v="0"/>
    <x v="22"/>
    <x v="5"/>
    <x v="7"/>
    <x v="5"/>
    <x v="0"/>
    <x v="648"/>
    <x v="133"/>
    <x v="1"/>
    <x v="1037"/>
  </r>
  <r>
    <x v="1068"/>
    <x v="6"/>
    <x v="7"/>
    <x v="1"/>
    <x v="14"/>
    <x v="7"/>
    <x v="0"/>
    <x v="927"/>
    <x v="134"/>
    <x v="1"/>
    <x v="1038"/>
  </r>
  <r>
    <x v="1069"/>
    <x v="19"/>
    <x v="9"/>
    <x v="1"/>
    <x v="11"/>
    <x v="1"/>
    <x v="0"/>
    <x v="928"/>
    <x v="0"/>
    <x v="0"/>
    <x v="1039"/>
  </r>
  <r>
    <x v="1070"/>
    <x v="4"/>
    <x v="3"/>
    <x v="3"/>
    <x v="10"/>
    <x v="0"/>
    <x v="1"/>
    <x v="395"/>
    <x v="0"/>
    <x v="0"/>
    <x v="1040"/>
  </r>
  <r>
    <x v="1071"/>
    <x v="30"/>
    <x v="15"/>
    <x v="2"/>
    <x v="6"/>
    <x v="12"/>
    <x v="0"/>
    <x v="929"/>
    <x v="0"/>
    <x v="0"/>
    <x v="1041"/>
  </r>
  <r>
    <x v="1072"/>
    <x v="34"/>
    <x v="10"/>
    <x v="3"/>
    <x v="3"/>
    <x v="3"/>
    <x v="0"/>
    <x v="930"/>
    <x v="0"/>
    <x v="0"/>
    <x v="1042"/>
  </r>
  <r>
    <x v="1073"/>
    <x v="5"/>
    <x v="13"/>
    <x v="0"/>
    <x v="9"/>
    <x v="12"/>
    <x v="0"/>
    <x v="931"/>
    <x v="0"/>
    <x v="0"/>
    <x v="1043"/>
  </r>
  <r>
    <x v="1074"/>
    <x v="8"/>
    <x v="8"/>
    <x v="1"/>
    <x v="14"/>
    <x v="23"/>
    <x v="0"/>
    <x v="921"/>
    <x v="0"/>
    <x v="0"/>
    <x v="1044"/>
  </r>
  <r>
    <x v="1075"/>
    <x v="36"/>
    <x v="22"/>
    <x v="2"/>
    <x v="2"/>
    <x v="9"/>
    <x v="1"/>
    <x v="932"/>
    <x v="0"/>
    <x v="0"/>
    <x v="1045"/>
  </r>
  <r>
    <x v="1076"/>
    <x v="4"/>
    <x v="7"/>
    <x v="1"/>
    <x v="1"/>
    <x v="10"/>
    <x v="1"/>
    <x v="933"/>
    <x v="0"/>
    <x v="0"/>
    <x v="1046"/>
  </r>
  <r>
    <x v="1077"/>
    <x v="34"/>
    <x v="19"/>
    <x v="1"/>
    <x v="11"/>
    <x v="10"/>
    <x v="0"/>
    <x v="934"/>
    <x v="0"/>
    <x v="0"/>
    <x v="1047"/>
  </r>
  <r>
    <x v="1078"/>
    <x v="27"/>
    <x v="10"/>
    <x v="2"/>
    <x v="13"/>
    <x v="19"/>
    <x v="0"/>
    <x v="534"/>
    <x v="0"/>
    <x v="0"/>
    <x v="1048"/>
  </r>
  <r>
    <x v="1079"/>
    <x v="35"/>
    <x v="8"/>
    <x v="2"/>
    <x v="2"/>
    <x v="16"/>
    <x v="0"/>
    <x v="935"/>
    <x v="0"/>
    <x v="0"/>
    <x v="1049"/>
  </r>
  <r>
    <x v="1080"/>
    <x v="30"/>
    <x v="2"/>
    <x v="2"/>
    <x v="6"/>
    <x v="0"/>
    <x v="1"/>
    <x v="716"/>
    <x v="0"/>
    <x v="0"/>
    <x v="1050"/>
  </r>
  <r>
    <x v="1081"/>
    <x v="15"/>
    <x v="12"/>
    <x v="1"/>
    <x v="12"/>
    <x v="24"/>
    <x v="0"/>
    <x v="485"/>
    <x v="0"/>
    <x v="0"/>
    <x v="1051"/>
  </r>
  <r>
    <x v="1082"/>
    <x v="18"/>
    <x v="4"/>
    <x v="2"/>
    <x v="13"/>
    <x v="7"/>
    <x v="0"/>
    <x v="936"/>
    <x v="0"/>
    <x v="0"/>
    <x v="1052"/>
  </r>
  <r>
    <x v="1083"/>
    <x v="13"/>
    <x v="3"/>
    <x v="1"/>
    <x v="11"/>
    <x v="2"/>
    <x v="0"/>
    <x v="937"/>
    <x v="0"/>
    <x v="0"/>
    <x v="1053"/>
  </r>
  <r>
    <x v="1084"/>
    <x v="31"/>
    <x v="22"/>
    <x v="4"/>
    <x v="8"/>
    <x v="22"/>
    <x v="1"/>
    <x v="938"/>
    <x v="0"/>
    <x v="0"/>
    <x v="1054"/>
  </r>
  <r>
    <x v="1085"/>
    <x v="19"/>
    <x v="21"/>
    <x v="2"/>
    <x v="13"/>
    <x v="12"/>
    <x v="0"/>
    <x v="917"/>
    <x v="0"/>
    <x v="0"/>
    <x v="1055"/>
  </r>
  <r>
    <x v="1086"/>
    <x v="28"/>
    <x v="8"/>
    <x v="1"/>
    <x v="11"/>
    <x v="16"/>
    <x v="0"/>
    <x v="939"/>
    <x v="0"/>
    <x v="0"/>
    <x v="685"/>
  </r>
  <r>
    <x v="1087"/>
    <x v="37"/>
    <x v="24"/>
    <x v="5"/>
    <x v="15"/>
    <x v="20"/>
    <x v="0"/>
    <x v="940"/>
    <x v="0"/>
    <x v="0"/>
    <x v="1056"/>
  </r>
  <r>
    <x v="1088"/>
    <x v="12"/>
    <x v="1"/>
    <x v="3"/>
    <x v="10"/>
    <x v="24"/>
    <x v="0"/>
    <x v="251"/>
    <x v="0"/>
    <x v="0"/>
    <x v="1057"/>
  </r>
  <r>
    <x v="1089"/>
    <x v="1"/>
    <x v="3"/>
    <x v="1"/>
    <x v="1"/>
    <x v="2"/>
    <x v="0"/>
    <x v="369"/>
    <x v="0"/>
    <x v="0"/>
    <x v="1058"/>
  </r>
  <r>
    <x v="1090"/>
    <x v="17"/>
    <x v="7"/>
    <x v="5"/>
    <x v="16"/>
    <x v="10"/>
    <x v="1"/>
    <x v="213"/>
    <x v="135"/>
    <x v="1"/>
    <x v="1059"/>
  </r>
  <r>
    <x v="1091"/>
    <x v="33"/>
    <x v="9"/>
    <x v="2"/>
    <x v="6"/>
    <x v="29"/>
    <x v="0"/>
    <x v="941"/>
    <x v="0"/>
    <x v="0"/>
    <x v="1060"/>
  </r>
  <r>
    <x v="1092"/>
    <x v="15"/>
    <x v="10"/>
    <x v="4"/>
    <x v="5"/>
    <x v="27"/>
    <x v="0"/>
    <x v="780"/>
    <x v="0"/>
    <x v="0"/>
    <x v="1061"/>
  </r>
  <r>
    <x v="1093"/>
    <x v="6"/>
    <x v="3"/>
    <x v="4"/>
    <x v="8"/>
    <x v="7"/>
    <x v="0"/>
    <x v="942"/>
    <x v="0"/>
    <x v="0"/>
    <x v="1062"/>
  </r>
  <r>
    <x v="1094"/>
    <x v="0"/>
    <x v="18"/>
    <x v="5"/>
    <x v="15"/>
    <x v="0"/>
    <x v="0"/>
    <x v="886"/>
    <x v="0"/>
    <x v="0"/>
    <x v="1063"/>
  </r>
  <r>
    <x v="1095"/>
    <x v="38"/>
    <x v="6"/>
    <x v="4"/>
    <x v="5"/>
    <x v="13"/>
    <x v="0"/>
    <x v="943"/>
    <x v="0"/>
    <x v="0"/>
    <x v="1064"/>
  </r>
  <r>
    <x v="1096"/>
    <x v="34"/>
    <x v="19"/>
    <x v="4"/>
    <x v="8"/>
    <x v="4"/>
    <x v="0"/>
    <x v="944"/>
    <x v="0"/>
    <x v="0"/>
    <x v="1065"/>
  </r>
  <r>
    <x v="1097"/>
    <x v="0"/>
    <x v="16"/>
    <x v="1"/>
    <x v="12"/>
    <x v="3"/>
    <x v="1"/>
    <x v="945"/>
    <x v="0"/>
    <x v="0"/>
    <x v="1066"/>
  </r>
  <r>
    <x v="1098"/>
    <x v="3"/>
    <x v="14"/>
    <x v="4"/>
    <x v="8"/>
    <x v="21"/>
    <x v="0"/>
    <x v="554"/>
    <x v="0"/>
    <x v="0"/>
    <x v="1067"/>
  </r>
  <r>
    <x v="1099"/>
    <x v="22"/>
    <x v="14"/>
    <x v="4"/>
    <x v="5"/>
    <x v="7"/>
    <x v="1"/>
    <x v="946"/>
    <x v="0"/>
    <x v="0"/>
    <x v="1068"/>
  </r>
  <r>
    <x v="1100"/>
    <x v="35"/>
    <x v="18"/>
    <x v="4"/>
    <x v="5"/>
    <x v="19"/>
    <x v="1"/>
    <x v="947"/>
    <x v="0"/>
    <x v="0"/>
    <x v="1069"/>
  </r>
  <r>
    <x v="1101"/>
    <x v="18"/>
    <x v="12"/>
    <x v="4"/>
    <x v="5"/>
    <x v="25"/>
    <x v="0"/>
    <x v="948"/>
    <x v="0"/>
    <x v="0"/>
    <x v="109"/>
  </r>
  <r>
    <x v="1102"/>
    <x v="13"/>
    <x v="22"/>
    <x v="1"/>
    <x v="11"/>
    <x v="5"/>
    <x v="0"/>
    <x v="949"/>
    <x v="0"/>
    <x v="0"/>
    <x v="1070"/>
  </r>
  <r>
    <x v="1103"/>
    <x v="11"/>
    <x v="15"/>
    <x v="4"/>
    <x v="5"/>
    <x v="19"/>
    <x v="1"/>
    <x v="250"/>
    <x v="0"/>
    <x v="0"/>
    <x v="1071"/>
  </r>
  <r>
    <x v="1104"/>
    <x v="9"/>
    <x v="10"/>
    <x v="4"/>
    <x v="8"/>
    <x v="8"/>
    <x v="1"/>
    <x v="950"/>
    <x v="0"/>
    <x v="0"/>
    <x v="1072"/>
  </r>
  <r>
    <x v="1105"/>
    <x v="23"/>
    <x v="17"/>
    <x v="1"/>
    <x v="1"/>
    <x v="3"/>
    <x v="1"/>
    <x v="951"/>
    <x v="0"/>
    <x v="0"/>
    <x v="1073"/>
  </r>
  <r>
    <x v="1106"/>
    <x v="31"/>
    <x v="24"/>
    <x v="1"/>
    <x v="14"/>
    <x v="1"/>
    <x v="1"/>
    <x v="596"/>
    <x v="0"/>
    <x v="0"/>
    <x v="1074"/>
  </r>
  <r>
    <x v="1107"/>
    <x v="11"/>
    <x v="17"/>
    <x v="1"/>
    <x v="12"/>
    <x v="2"/>
    <x v="1"/>
    <x v="952"/>
    <x v="136"/>
    <x v="1"/>
    <x v="1075"/>
  </r>
  <r>
    <x v="1108"/>
    <x v="31"/>
    <x v="24"/>
    <x v="3"/>
    <x v="10"/>
    <x v="7"/>
    <x v="0"/>
    <x v="100"/>
    <x v="0"/>
    <x v="0"/>
    <x v="1076"/>
  </r>
  <r>
    <x v="1109"/>
    <x v="33"/>
    <x v="24"/>
    <x v="3"/>
    <x v="3"/>
    <x v="4"/>
    <x v="0"/>
    <x v="953"/>
    <x v="0"/>
    <x v="0"/>
    <x v="1077"/>
  </r>
  <r>
    <x v="1110"/>
    <x v="16"/>
    <x v="4"/>
    <x v="0"/>
    <x v="9"/>
    <x v="7"/>
    <x v="1"/>
    <x v="833"/>
    <x v="0"/>
    <x v="0"/>
    <x v="1078"/>
  </r>
  <r>
    <x v="1111"/>
    <x v="4"/>
    <x v="3"/>
    <x v="1"/>
    <x v="1"/>
    <x v="7"/>
    <x v="1"/>
    <x v="954"/>
    <x v="0"/>
    <x v="0"/>
    <x v="1"/>
  </r>
  <r>
    <x v="1112"/>
    <x v="15"/>
    <x v="9"/>
    <x v="1"/>
    <x v="11"/>
    <x v="18"/>
    <x v="0"/>
    <x v="524"/>
    <x v="0"/>
    <x v="0"/>
    <x v="1079"/>
  </r>
  <r>
    <x v="1113"/>
    <x v="25"/>
    <x v="1"/>
    <x v="3"/>
    <x v="10"/>
    <x v="5"/>
    <x v="0"/>
    <x v="99"/>
    <x v="0"/>
    <x v="0"/>
    <x v="1080"/>
  </r>
  <r>
    <x v="1114"/>
    <x v="21"/>
    <x v="16"/>
    <x v="1"/>
    <x v="11"/>
    <x v="7"/>
    <x v="0"/>
    <x v="396"/>
    <x v="0"/>
    <x v="0"/>
    <x v="1081"/>
  </r>
  <r>
    <x v="1115"/>
    <x v="20"/>
    <x v="13"/>
    <x v="3"/>
    <x v="3"/>
    <x v="20"/>
    <x v="1"/>
    <x v="955"/>
    <x v="0"/>
    <x v="0"/>
    <x v="1082"/>
  </r>
  <r>
    <x v="1116"/>
    <x v="9"/>
    <x v="2"/>
    <x v="3"/>
    <x v="3"/>
    <x v="19"/>
    <x v="1"/>
    <x v="956"/>
    <x v="0"/>
    <x v="0"/>
    <x v="1083"/>
  </r>
  <r>
    <x v="1117"/>
    <x v="22"/>
    <x v="18"/>
    <x v="1"/>
    <x v="12"/>
    <x v="1"/>
    <x v="1"/>
    <x v="957"/>
    <x v="0"/>
    <x v="0"/>
    <x v="1084"/>
  </r>
  <r>
    <x v="1118"/>
    <x v="20"/>
    <x v="5"/>
    <x v="0"/>
    <x v="0"/>
    <x v="23"/>
    <x v="0"/>
    <x v="958"/>
    <x v="0"/>
    <x v="0"/>
    <x v="1085"/>
  </r>
  <r>
    <x v="1119"/>
    <x v="12"/>
    <x v="9"/>
    <x v="1"/>
    <x v="1"/>
    <x v="9"/>
    <x v="0"/>
    <x v="959"/>
    <x v="0"/>
    <x v="0"/>
    <x v="1086"/>
  </r>
  <r>
    <x v="1120"/>
    <x v="13"/>
    <x v="5"/>
    <x v="2"/>
    <x v="2"/>
    <x v="17"/>
    <x v="0"/>
    <x v="960"/>
    <x v="0"/>
    <x v="0"/>
    <x v="1087"/>
  </r>
  <r>
    <x v="1121"/>
    <x v="2"/>
    <x v="1"/>
    <x v="5"/>
    <x v="16"/>
    <x v="5"/>
    <x v="0"/>
    <x v="839"/>
    <x v="0"/>
    <x v="0"/>
    <x v="1088"/>
  </r>
  <r>
    <x v="1122"/>
    <x v="33"/>
    <x v="7"/>
    <x v="4"/>
    <x v="8"/>
    <x v="21"/>
    <x v="0"/>
    <x v="43"/>
    <x v="0"/>
    <x v="0"/>
    <x v="1089"/>
  </r>
  <r>
    <x v="1123"/>
    <x v="22"/>
    <x v="23"/>
    <x v="0"/>
    <x v="9"/>
    <x v="29"/>
    <x v="0"/>
    <x v="961"/>
    <x v="137"/>
    <x v="1"/>
    <x v="1090"/>
  </r>
  <r>
    <x v="1124"/>
    <x v="29"/>
    <x v="16"/>
    <x v="3"/>
    <x v="3"/>
    <x v="4"/>
    <x v="0"/>
    <x v="962"/>
    <x v="0"/>
    <x v="0"/>
    <x v="1091"/>
  </r>
  <r>
    <x v="1125"/>
    <x v="16"/>
    <x v="16"/>
    <x v="5"/>
    <x v="16"/>
    <x v="7"/>
    <x v="1"/>
    <x v="963"/>
    <x v="138"/>
    <x v="1"/>
    <x v="1092"/>
  </r>
  <r>
    <x v="1126"/>
    <x v="12"/>
    <x v="1"/>
    <x v="3"/>
    <x v="3"/>
    <x v="4"/>
    <x v="0"/>
    <x v="964"/>
    <x v="0"/>
    <x v="0"/>
    <x v="1093"/>
  </r>
  <r>
    <x v="1127"/>
    <x v="29"/>
    <x v="4"/>
    <x v="5"/>
    <x v="16"/>
    <x v="10"/>
    <x v="0"/>
    <x v="965"/>
    <x v="0"/>
    <x v="0"/>
    <x v="1094"/>
  </r>
  <r>
    <x v="1128"/>
    <x v="37"/>
    <x v="14"/>
    <x v="1"/>
    <x v="12"/>
    <x v="23"/>
    <x v="1"/>
    <x v="966"/>
    <x v="0"/>
    <x v="0"/>
    <x v="1095"/>
  </r>
  <r>
    <x v="1129"/>
    <x v="35"/>
    <x v="19"/>
    <x v="4"/>
    <x v="5"/>
    <x v="4"/>
    <x v="0"/>
    <x v="967"/>
    <x v="0"/>
    <x v="0"/>
    <x v="939"/>
  </r>
  <r>
    <x v="1130"/>
    <x v="8"/>
    <x v="19"/>
    <x v="5"/>
    <x v="7"/>
    <x v="21"/>
    <x v="1"/>
    <x v="363"/>
    <x v="139"/>
    <x v="1"/>
    <x v="1096"/>
  </r>
  <r>
    <x v="1131"/>
    <x v="14"/>
    <x v="16"/>
    <x v="5"/>
    <x v="7"/>
    <x v="4"/>
    <x v="1"/>
    <x v="968"/>
    <x v="0"/>
    <x v="0"/>
    <x v="1097"/>
  </r>
  <r>
    <x v="336"/>
    <x v="22"/>
    <x v="10"/>
    <x v="1"/>
    <x v="14"/>
    <x v="23"/>
    <x v="0"/>
    <x v="321"/>
    <x v="43"/>
    <x v="1"/>
    <x v="329"/>
  </r>
  <r>
    <x v="1132"/>
    <x v="2"/>
    <x v="14"/>
    <x v="1"/>
    <x v="12"/>
    <x v="7"/>
    <x v="0"/>
    <x v="969"/>
    <x v="0"/>
    <x v="0"/>
    <x v="1098"/>
  </r>
  <r>
    <x v="1133"/>
    <x v="24"/>
    <x v="2"/>
    <x v="4"/>
    <x v="8"/>
    <x v="29"/>
    <x v="0"/>
    <x v="970"/>
    <x v="0"/>
    <x v="0"/>
    <x v="1099"/>
  </r>
  <r>
    <x v="1134"/>
    <x v="31"/>
    <x v="15"/>
    <x v="4"/>
    <x v="5"/>
    <x v="0"/>
    <x v="1"/>
    <x v="971"/>
    <x v="140"/>
    <x v="1"/>
    <x v="1100"/>
  </r>
  <r>
    <x v="1135"/>
    <x v="2"/>
    <x v="21"/>
    <x v="2"/>
    <x v="13"/>
    <x v="3"/>
    <x v="1"/>
    <x v="875"/>
    <x v="0"/>
    <x v="0"/>
    <x v="1101"/>
  </r>
  <r>
    <x v="1136"/>
    <x v="29"/>
    <x v="20"/>
    <x v="2"/>
    <x v="13"/>
    <x v="21"/>
    <x v="1"/>
    <x v="972"/>
    <x v="0"/>
    <x v="0"/>
    <x v="1102"/>
  </r>
  <r>
    <x v="1137"/>
    <x v="21"/>
    <x v="11"/>
    <x v="1"/>
    <x v="1"/>
    <x v="8"/>
    <x v="0"/>
    <x v="247"/>
    <x v="141"/>
    <x v="1"/>
    <x v="1103"/>
  </r>
  <r>
    <x v="1138"/>
    <x v="6"/>
    <x v="20"/>
    <x v="4"/>
    <x v="4"/>
    <x v="18"/>
    <x v="0"/>
    <x v="553"/>
    <x v="0"/>
    <x v="0"/>
    <x v="1104"/>
  </r>
  <r>
    <x v="1139"/>
    <x v="4"/>
    <x v="12"/>
    <x v="5"/>
    <x v="15"/>
    <x v="25"/>
    <x v="0"/>
    <x v="706"/>
    <x v="0"/>
    <x v="0"/>
    <x v="1105"/>
  </r>
  <r>
    <x v="1140"/>
    <x v="28"/>
    <x v="10"/>
    <x v="4"/>
    <x v="5"/>
    <x v="21"/>
    <x v="0"/>
    <x v="973"/>
    <x v="0"/>
    <x v="0"/>
    <x v="1106"/>
  </r>
  <r>
    <x v="1141"/>
    <x v="8"/>
    <x v="22"/>
    <x v="4"/>
    <x v="8"/>
    <x v="0"/>
    <x v="1"/>
    <x v="974"/>
    <x v="0"/>
    <x v="0"/>
    <x v="1107"/>
  </r>
  <r>
    <x v="1142"/>
    <x v="25"/>
    <x v="20"/>
    <x v="4"/>
    <x v="8"/>
    <x v="16"/>
    <x v="1"/>
    <x v="975"/>
    <x v="0"/>
    <x v="0"/>
    <x v="1108"/>
  </r>
  <r>
    <x v="1143"/>
    <x v="28"/>
    <x v="16"/>
    <x v="1"/>
    <x v="11"/>
    <x v="1"/>
    <x v="1"/>
    <x v="976"/>
    <x v="0"/>
    <x v="0"/>
    <x v="1109"/>
  </r>
  <r>
    <x v="1144"/>
    <x v="2"/>
    <x v="12"/>
    <x v="4"/>
    <x v="8"/>
    <x v="14"/>
    <x v="1"/>
    <x v="977"/>
    <x v="0"/>
    <x v="0"/>
    <x v="1"/>
  </r>
  <r>
    <x v="1145"/>
    <x v="17"/>
    <x v="22"/>
    <x v="1"/>
    <x v="12"/>
    <x v="10"/>
    <x v="1"/>
    <x v="351"/>
    <x v="0"/>
    <x v="0"/>
    <x v="1110"/>
  </r>
  <r>
    <x v="1146"/>
    <x v="27"/>
    <x v="19"/>
    <x v="4"/>
    <x v="5"/>
    <x v="23"/>
    <x v="0"/>
    <x v="853"/>
    <x v="0"/>
    <x v="0"/>
    <x v="1111"/>
  </r>
  <r>
    <x v="1147"/>
    <x v="27"/>
    <x v="2"/>
    <x v="1"/>
    <x v="11"/>
    <x v="7"/>
    <x v="1"/>
    <x v="978"/>
    <x v="0"/>
    <x v="0"/>
    <x v="1112"/>
  </r>
  <r>
    <x v="1148"/>
    <x v="10"/>
    <x v="22"/>
    <x v="4"/>
    <x v="5"/>
    <x v="15"/>
    <x v="1"/>
    <x v="979"/>
    <x v="0"/>
    <x v="0"/>
    <x v="1113"/>
  </r>
  <r>
    <x v="1149"/>
    <x v="5"/>
    <x v="11"/>
    <x v="0"/>
    <x v="0"/>
    <x v="0"/>
    <x v="0"/>
    <x v="980"/>
    <x v="0"/>
    <x v="0"/>
    <x v="1114"/>
  </r>
  <r>
    <x v="1150"/>
    <x v="37"/>
    <x v="0"/>
    <x v="1"/>
    <x v="1"/>
    <x v="17"/>
    <x v="1"/>
    <x v="981"/>
    <x v="0"/>
    <x v="0"/>
    <x v="1115"/>
  </r>
  <r>
    <x v="1151"/>
    <x v="12"/>
    <x v="23"/>
    <x v="4"/>
    <x v="5"/>
    <x v="12"/>
    <x v="1"/>
    <x v="982"/>
    <x v="142"/>
    <x v="1"/>
    <x v="1116"/>
  </r>
  <r>
    <x v="1152"/>
    <x v="12"/>
    <x v="2"/>
    <x v="2"/>
    <x v="2"/>
    <x v="22"/>
    <x v="1"/>
    <x v="983"/>
    <x v="0"/>
    <x v="0"/>
    <x v="1117"/>
  </r>
  <r>
    <x v="856"/>
    <x v="31"/>
    <x v="5"/>
    <x v="0"/>
    <x v="0"/>
    <x v="3"/>
    <x v="0"/>
    <x v="769"/>
    <x v="0"/>
    <x v="0"/>
    <x v="834"/>
  </r>
  <r>
    <x v="1153"/>
    <x v="6"/>
    <x v="20"/>
    <x v="3"/>
    <x v="3"/>
    <x v="3"/>
    <x v="1"/>
    <x v="984"/>
    <x v="0"/>
    <x v="0"/>
    <x v="1118"/>
  </r>
  <r>
    <x v="1154"/>
    <x v="6"/>
    <x v="11"/>
    <x v="2"/>
    <x v="2"/>
    <x v="7"/>
    <x v="0"/>
    <x v="985"/>
    <x v="0"/>
    <x v="0"/>
    <x v="1119"/>
  </r>
  <r>
    <x v="1155"/>
    <x v="23"/>
    <x v="2"/>
    <x v="1"/>
    <x v="1"/>
    <x v="12"/>
    <x v="1"/>
    <x v="864"/>
    <x v="0"/>
    <x v="0"/>
    <x v="1120"/>
  </r>
  <r>
    <x v="1156"/>
    <x v="11"/>
    <x v="20"/>
    <x v="5"/>
    <x v="15"/>
    <x v="23"/>
    <x v="1"/>
    <x v="986"/>
    <x v="0"/>
    <x v="0"/>
    <x v="1121"/>
  </r>
  <r>
    <x v="1157"/>
    <x v="34"/>
    <x v="12"/>
    <x v="2"/>
    <x v="13"/>
    <x v="3"/>
    <x v="1"/>
    <x v="987"/>
    <x v="0"/>
    <x v="0"/>
    <x v="1122"/>
  </r>
  <r>
    <x v="1158"/>
    <x v="37"/>
    <x v="15"/>
    <x v="2"/>
    <x v="6"/>
    <x v="20"/>
    <x v="0"/>
    <x v="988"/>
    <x v="143"/>
    <x v="1"/>
    <x v="1123"/>
  </r>
  <r>
    <x v="1159"/>
    <x v="28"/>
    <x v="11"/>
    <x v="4"/>
    <x v="8"/>
    <x v="20"/>
    <x v="1"/>
    <x v="989"/>
    <x v="144"/>
    <x v="1"/>
    <x v="1124"/>
  </r>
  <r>
    <x v="1160"/>
    <x v="31"/>
    <x v="17"/>
    <x v="0"/>
    <x v="0"/>
    <x v="1"/>
    <x v="1"/>
    <x v="237"/>
    <x v="0"/>
    <x v="0"/>
    <x v="1125"/>
  </r>
  <r>
    <x v="1161"/>
    <x v="33"/>
    <x v="3"/>
    <x v="4"/>
    <x v="5"/>
    <x v="4"/>
    <x v="1"/>
    <x v="990"/>
    <x v="0"/>
    <x v="0"/>
    <x v="1126"/>
  </r>
  <r>
    <x v="1162"/>
    <x v="26"/>
    <x v="10"/>
    <x v="3"/>
    <x v="3"/>
    <x v="7"/>
    <x v="0"/>
    <x v="991"/>
    <x v="0"/>
    <x v="0"/>
    <x v="1127"/>
  </r>
  <r>
    <x v="1163"/>
    <x v="33"/>
    <x v="14"/>
    <x v="0"/>
    <x v="0"/>
    <x v="4"/>
    <x v="1"/>
    <x v="992"/>
    <x v="145"/>
    <x v="1"/>
    <x v="1128"/>
  </r>
  <r>
    <x v="1164"/>
    <x v="6"/>
    <x v="15"/>
    <x v="2"/>
    <x v="13"/>
    <x v="3"/>
    <x v="0"/>
    <x v="25"/>
    <x v="0"/>
    <x v="0"/>
    <x v="1129"/>
  </r>
  <r>
    <x v="1165"/>
    <x v="30"/>
    <x v="9"/>
    <x v="5"/>
    <x v="15"/>
    <x v="5"/>
    <x v="0"/>
    <x v="993"/>
    <x v="0"/>
    <x v="0"/>
    <x v="1130"/>
  </r>
  <r>
    <x v="1166"/>
    <x v="34"/>
    <x v="2"/>
    <x v="3"/>
    <x v="3"/>
    <x v="5"/>
    <x v="0"/>
    <x v="506"/>
    <x v="0"/>
    <x v="0"/>
    <x v="1131"/>
  </r>
  <r>
    <x v="1167"/>
    <x v="25"/>
    <x v="12"/>
    <x v="1"/>
    <x v="1"/>
    <x v="24"/>
    <x v="0"/>
    <x v="994"/>
    <x v="0"/>
    <x v="0"/>
    <x v="1132"/>
  </r>
  <r>
    <x v="1168"/>
    <x v="5"/>
    <x v="5"/>
    <x v="3"/>
    <x v="3"/>
    <x v="9"/>
    <x v="0"/>
    <x v="995"/>
    <x v="0"/>
    <x v="0"/>
    <x v="1133"/>
  </r>
  <r>
    <x v="1169"/>
    <x v="30"/>
    <x v="21"/>
    <x v="4"/>
    <x v="4"/>
    <x v="20"/>
    <x v="0"/>
    <x v="352"/>
    <x v="0"/>
    <x v="0"/>
    <x v="1134"/>
  </r>
  <r>
    <x v="1170"/>
    <x v="22"/>
    <x v="13"/>
    <x v="1"/>
    <x v="12"/>
    <x v="3"/>
    <x v="0"/>
    <x v="996"/>
    <x v="0"/>
    <x v="0"/>
    <x v="1135"/>
  </r>
  <r>
    <x v="1171"/>
    <x v="3"/>
    <x v="18"/>
    <x v="5"/>
    <x v="16"/>
    <x v="23"/>
    <x v="0"/>
    <x v="997"/>
    <x v="0"/>
    <x v="0"/>
    <x v="1136"/>
  </r>
  <r>
    <x v="1172"/>
    <x v="17"/>
    <x v="17"/>
    <x v="1"/>
    <x v="14"/>
    <x v="17"/>
    <x v="0"/>
    <x v="91"/>
    <x v="0"/>
    <x v="0"/>
    <x v="1137"/>
  </r>
  <r>
    <x v="1173"/>
    <x v="24"/>
    <x v="16"/>
    <x v="1"/>
    <x v="1"/>
    <x v="11"/>
    <x v="1"/>
    <x v="998"/>
    <x v="0"/>
    <x v="0"/>
    <x v="1138"/>
  </r>
  <r>
    <x v="1174"/>
    <x v="6"/>
    <x v="7"/>
    <x v="4"/>
    <x v="8"/>
    <x v="3"/>
    <x v="1"/>
    <x v="999"/>
    <x v="0"/>
    <x v="0"/>
    <x v="1139"/>
  </r>
  <r>
    <x v="1175"/>
    <x v="25"/>
    <x v="2"/>
    <x v="3"/>
    <x v="3"/>
    <x v="4"/>
    <x v="0"/>
    <x v="1000"/>
    <x v="0"/>
    <x v="0"/>
    <x v="1140"/>
  </r>
  <r>
    <x v="437"/>
    <x v="1"/>
    <x v="16"/>
    <x v="0"/>
    <x v="0"/>
    <x v="9"/>
    <x v="1"/>
    <x v="415"/>
    <x v="0"/>
    <x v="0"/>
    <x v="425"/>
  </r>
  <r>
    <x v="1176"/>
    <x v="16"/>
    <x v="15"/>
    <x v="2"/>
    <x v="2"/>
    <x v="17"/>
    <x v="0"/>
    <x v="1001"/>
    <x v="0"/>
    <x v="0"/>
    <x v="1141"/>
  </r>
  <r>
    <x v="1177"/>
    <x v="24"/>
    <x v="13"/>
    <x v="2"/>
    <x v="13"/>
    <x v="1"/>
    <x v="0"/>
    <x v="436"/>
    <x v="0"/>
    <x v="0"/>
    <x v="1142"/>
  </r>
  <r>
    <x v="1178"/>
    <x v="32"/>
    <x v="0"/>
    <x v="2"/>
    <x v="13"/>
    <x v="31"/>
    <x v="0"/>
    <x v="1002"/>
    <x v="0"/>
    <x v="0"/>
    <x v="1143"/>
  </r>
  <r>
    <x v="1179"/>
    <x v="1"/>
    <x v="12"/>
    <x v="5"/>
    <x v="7"/>
    <x v="12"/>
    <x v="0"/>
    <x v="1003"/>
    <x v="146"/>
    <x v="1"/>
    <x v="1144"/>
  </r>
  <r>
    <x v="1180"/>
    <x v="27"/>
    <x v="1"/>
    <x v="1"/>
    <x v="11"/>
    <x v="0"/>
    <x v="0"/>
    <x v="1004"/>
    <x v="0"/>
    <x v="0"/>
    <x v="1145"/>
  </r>
  <r>
    <x v="1181"/>
    <x v="35"/>
    <x v="5"/>
    <x v="1"/>
    <x v="14"/>
    <x v="6"/>
    <x v="1"/>
    <x v="1005"/>
    <x v="0"/>
    <x v="0"/>
    <x v="1146"/>
  </r>
  <r>
    <x v="1182"/>
    <x v="25"/>
    <x v="15"/>
    <x v="3"/>
    <x v="10"/>
    <x v="3"/>
    <x v="1"/>
    <x v="704"/>
    <x v="0"/>
    <x v="0"/>
    <x v="1147"/>
  </r>
  <r>
    <x v="1183"/>
    <x v="9"/>
    <x v="14"/>
    <x v="3"/>
    <x v="10"/>
    <x v="10"/>
    <x v="0"/>
    <x v="82"/>
    <x v="0"/>
    <x v="0"/>
    <x v="1148"/>
  </r>
  <r>
    <x v="1184"/>
    <x v="9"/>
    <x v="22"/>
    <x v="2"/>
    <x v="6"/>
    <x v="8"/>
    <x v="0"/>
    <x v="1006"/>
    <x v="48"/>
    <x v="1"/>
    <x v="1149"/>
  </r>
  <r>
    <x v="1185"/>
    <x v="0"/>
    <x v="14"/>
    <x v="4"/>
    <x v="4"/>
    <x v="1"/>
    <x v="0"/>
    <x v="1007"/>
    <x v="0"/>
    <x v="0"/>
    <x v="1150"/>
  </r>
  <r>
    <x v="1186"/>
    <x v="15"/>
    <x v="9"/>
    <x v="5"/>
    <x v="7"/>
    <x v="3"/>
    <x v="1"/>
    <x v="1008"/>
    <x v="147"/>
    <x v="1"/>
    <x v="1151"/>
  </r>
  <r>
    <x v="1187"/>
    <x v="18"/>
    <x v="13"/>
    <x v="2"/>
    <x v="6"/>
    <x v="24"/>
    <x v="0"/>
    <x v="1009"/>
    <x v="0"/>
    <x v="0"/>
    <x v="1152"/>
  </r>
  <r>
    <x v="1188"/>
    <x v="14"/>
    <x v="12"/>
    <x v="4"/>
    <x v="4"/>
    <x v="7"/>
    <x v="1"/>
    <x v="1010"/>
    <x v="0"/>
    <x v="0"/>
    <x v="1153"/>
  </r>
  <r>
    <x v="1189"/>
    <x v="34"/>
    <x v="21"/>
    <x v="0"/>
    <x v="0"/>
    <x v="0"/>
    <x v="1"/>
    <x v="1011"/>
    <x v="0"/>
    <x v="0"/>
    <x v="1"/>
  </r>
  <r>
    <x v="1190"/>
    <x v="1"/>
    <x v="14"/>
    <x v="2"/>
    <x v="13"/>
    <x v="7"/>
    <x v="1"/>
    <x v="1012"/>
    <x v="0"/>
    <x v="0"/>
    <x v="1154"/>
  </r>
  <r>
    <x v="1191"/>
    <x v="33"/>
    <x v="5"/>
    <x v="2"/>
    <x v="2"/>
    <x v="6"/>
    <x v="0"/>
    <x v="307"/>
    <x v="0"/>
    <x v="0"/>
    <x v="1155"/>
  </r>
  <r>
    <x v="1192"/>
    <x v="17"/>
    <x v="7"/>
    <x v="2"/>
    <x v="2"/>
    <x v="29"/>
    <x v="0"/>
    <x v="1013"/>
    <x v="0"/>
    <x v="0"/>
    <x v="1156"/>
  </r>
  <r>
    <x v="1193"/>
    <x v="27"/>
    <x v="6"/>
    <x v="4"/>
    <x v="5"/>
    <x v="12"/>
    <x v="1"/>
    <x v="281"/>
    <x v="0"/>
    <x v="0"/>
    <x v="1157"/>
  </r>
  <r>
    <x v="1194"/>
    <x v="19"/>
    <x v="8"/>
    <x v="2"/>
    <x v="6"/>
    <x v="7"/>
    <x v="1"/>
    <x v="1014"/>
    <x v="148"/>
    <x v="1"/>
    <x v="1158"/>
  </r>
  <r>
    <x v="1195"/>
    <x v="29"/>
    <x v="2"/>
    <x v="1"/>
    <x v="1"/>
    <x v="2"/>
    <x v="1"/>
    <x v="5"/>
    <x v="0"/>
    <x v="0"/>
    <x v="1159"/>
  </r>
  <r>
    <x v="1196"/>
    <x v="19"/>
    <x v="16"/>
    <x v="5"/>
    <x v="7"/>
    <x v="19"/>
    <x v="0"/>
    <x v="532"/>
    <x v="0"/>
    <x v="0"/>
    <x v="1"/>
  </r>
  <r>
    <x v="1197"/>
    <x v="33"/>
    <x v="11"/>
    <x v="4"/>
    <x v="4"/>
    <x v="21"/>
    <x v="1"/>
    <x v="1015"/>
    <x v="0"/>
    <x v="0"/>
    <x v="1160"/>
  </r>
  <r>
    <x v="1198"/>
    <x v="14"/>
    <x v="9"/>
    <x v="1"/>
    <x v="14"/>
    <x v="8"/>
    <x v="0"/>
    <x v="1016"/>
    <x v="0"/>
    <x v="0"/>
    <x v="1161"/>
  </r>
  <r>
    <x v="1199"/>
    <x v="7"/>
    <x v="14"/>
    <x v="1"/>
    <x v="11"/>
    <x v="2"/>
    <x v="0"/>
    <x v="441"/>
    <x v="0"/>
    <x v="0"/>
    <x v="1162"/>
  </r>
  <r>
    <x v="1200"/>
    <x v="21"/>
    <x v="12"/>
    <x v="4"/>
    <x v="5"/>
    <x v="16"/>
    <x v="1"/>
    <x v="1017"/>
    <x v="0"/>
    <x v="0"/>
    <x v="1163"/>
  </r>
  <r>
    <x v="1201"/>
    <x v="23"/>
    <x v="13"/>
    <x v="5"/>
    <x v="7"/>
    <x v="5"/>
    <x v="0"/>
    <x v="1018"/>
    <x v="0"/>
    <x v="0"/>
    <x v="1164"/>
  </r>
  <r>
    <x v="1202"/>
    <x v="2"/>
    <x v="24"/>
    <x v="4"/>
    <x v="5"/>
    <x v="21"/>
    <x v="0"/>
    <x v="109"/>
    <x v="0"/>
    <x v="0"/>
    <x v="1165"/>
  </r>
  <r>
    <x v="1203"/>
    <x v="15"/>
    <x v="10"/>
    <x v="1"/>
    <x v="11"/>
    <x v="11"/>
    <x v="1"/>
    <x v="1019"/>
    <x v="0"/>
    <x v="0"/>
    <x v="1166"/>
  </r>
  <r>
    <x v="1204"/>
    <x v="30"/>
    <x v="12"/>
    <x v="1"/>
    <x v="12"/>
    <x v="10"/>
    <x v="1"/>
    <x v="1020"/>
    <x v="0"/>
    <x v="0"/>
    <x v="1167"/>
  </r>
  <r>
    <x v="1205"/>
    <x v="18"/>
    <x v="12"/>
    <x v="4"/>
    <x v="5"/>
    <x v="3"/>
    <x v="0"/>
    <x v="1021"/>
    <x v="0"/>
    <x v="0"/>
    <x v="1168"/>
  </r>
  <r>
    <x v="1206"/>
    <x v="2"/>
    <x v="18"/>
    <x v="4"/>
    <x v="5"/>
    <x v="3"/>
    <x v="0"/>
    <x v="1022"/>
    <x v="0"/>
    <x v="0"/>
    <x v="1169"/>
  </r>
  <r>
    <x v="1207"/>
    <x v="33"/>
    <x v="2"/>
    <x v="2"/>
    <x v="6"/>
    <x v="7"/>
    <x v="0"/>
    <x v="1023"/>
    <x v="137"/>
    <x v="1"/>
    <x v="1170"/>
  </r>
  <r>
    <x v="1208"/>
    <x v="34"/>
    <x v="11"/>
    <x v="4"/>
    <x v="8"/>
    <x v="21"/>
    <x v="0"/>
    <x v="1024"/>
    <x v="0"/>
    <x v="0"/>
    <x v="1171"/>
  </r>
  <r>
    <x v="1209"/>
    <x v="8"/>
    <x v="18"/>
    <x v="4"/>
    <x v="8"/>
    <x v="24"/>
    <x v="1"/>
    <x v="45"/>
    <x v="149"/>
    <x v="1"/>
    <x v="1172"/>
  </r>
  <r>
    <x v="1210"/>
    <x v="2"/>
    <x v="17"/>
    <x v="4"/>
    <x v="8"/>
    <x v="3"/>
    <x v="0"/>
    <x v="1025"/>
    <x v="0"/>
    <x v="0"/>
    <x v="1173"/>
  </r>
  <r>
    <x v="1211"/>
    <x v="12"/>
    <x v="0"/>
    <x v="1"/>
    <x v="11"/>
    <x v="14"/>
    <x v="0"/>
    <x v="1026"/>
    <x v="150"/>
    <x v="1"/>
    <x v="1174"/>
  </r>
  <r>
    <x v="1212"/>
    <x v="29"/>
    <x v="18"/>
    <x v="4"/>
    <x v="5"/>
    <x v="8"/>
    <x v="0"/>
    <x v="1027"/>
    <x v="0"/>
    <x v="0"/>
    <x v="1"/>
  </r>
  <r>
    <x v="1213"/>
    <x v="13"/>
    <x v="15"/>
    <x v="5"/>
    <x v="7"/>
    <x v="10"/>
    <x v="0"/>
    <x v="1028"/>
    <x v="0"/>
    <x v="0"/>
    <x v="1175"/>
  </r>
  <r>
    <x v="1214"/>
    <x v="14"/>
    <x v="15"/>
    <x v="2"/>
    <x v="2"/>
    <x v="5"/>
    <x v="1"/>
    <x v="1029"/>
    <x v="0"/>
    <x v="0"/>
    <x v="1176"/>
  </r>
  <r>
    <x v="1215"/>
    <x v="27"/>
    <x v="11"/>
    <x v="5"/>
    <x v="7"/>
    <x v="3"/>
    <x v="0"/>
    <x v="696"/>
    <x v="0"/>
    <x v="0"/>
    <x v="1044"/>
  </r>
  <r>
    <x v="1216"/>
    <x v="5"/>
    <x v="0"/>
    <x v="1"/>
    <x v="1"/>
    <x v="3"/>
    <x v="0"/>
    <x v="1030"/>
    <x v="0"/>
    <x v="0"/>
    <x v="1177"/>
  </r>
  <r>
    <x v="1217"/>
    <x v="2"/>
    <x v="23"/>
    <x v="1"/>
    <x v="1"/>
    <x v="3"/>
    <x v="1"/>
    <x v="1031"/>
    <x v="0"/>
    <x v="0"/>
    <x v="1178"/>
  </r>
  <r>
    <x v="1218"/>
    <x v="6"/>
    <x v="4"/>
    <x v="5"/>
    <x v="16"/>
    <x v="5"/>
    <x v="0"/>
    <x v="1032"/>
    <x v="0"/>
    <x v="0"/>
    <x v="1179"/>
  </r>
  <r>
    <x v="1219"/>
    <x v="6"/>
    <x v="3"/>
    <x v="5"/>
    <x v="16"/>
    <x v="21"/>
    <x v="1"/>
    <x v="1033"/>
    <x v="0"/>
    <x v="0"/>
    <x v="1180"/>
  </r>
  <r>
    <x v="1220"/>
    <x v="38"/>
    <x v="15"/>
    <x v="1"/>
    <x v="11"/>
    <x v="5"/>
    <x v="0"/>
    <x v="1034"/>
    <x v="0"/>
    <x v="0"/>
    <x v="1181"/>
  </r>
  <r>
    <x v="1221"/>
    <x v="32"/>
    <x v="5"/>
    <x v="4"/>
    <x v="5"/>
    <x v="15"/>
    <x v="0"/>
    <x v="1035"/>
    <x v="0"/>
    <x v="0"/>
    <x v="1182"/>
  </r>
  <r>
    <x v="1222"/>
    <x v="11"/>
    <x v="16"/>
    <x v="1"/>
    <x v="1"/>
    <x v="19"/>
    <x v="1"/>
    <x v="1036"/>
    <x v="0"/>
    <x v="0"/>
    <x v="1183"/>
  </r>
  <r>
    <x v="1223"/>
    <x v="7"/>
    <x v="22"/>
    <x v="5"/>
    <x v="7"/>
    <x v="7"/>
    <x v="0"/>
    <x v="1037"/>
    <x v="0"/>
    <x v="0"/>
    <x v="1184"/>
  </r>
  <r>
    <x v="1224"/>
    <x v="15"/>
    <x v="6"/>
    <x v="4"/>
    <x v="8"/>
    <x v="19"/>
    <x v="0"/>
    <x v="1038"/>
    <x v="0"/>
    <x v="0"/>
    <x v="1185"/>
  </r>
  <r>
    <x v="1225"/>
    <x v="15"/>
    <x v="21"/>
    <x v="5"/>
    <x v="7"/>
    <x v="7"/>
    <x v="0"/>
    <x v="464"/>
    <x v="151"/>
    <x v="1"/>
    <x v="1186"/>
  </r>
  <r>
    <x v="1226"/>
    <x v="30"/>
    <x v="20"/>
    <x v="2"/>
    <x v="13"/>
    <x v="3"/>
    <x v="0"/>
    <x v="1039"/>
    <x v="0"/>
    <x v="0"/>
    <x v="1187"/>
  </r>
  <r>
    <x v="1227"/>
    <x v="28"/>
    <x v="14"/>
    <x v="1"/>
    <x v="11"/>
    <x v="10"/>
    <x v="1"/>
    <x v="1040"/>
    <x v="0"/>
    <x v="0"/>
    <x v="1188"/>
  </r>
  <r>
    <x v="1228"/>
    <x v="28"/>
    <x v="5"/>
    <x v="3"/>
    <x v="3"/>
    <x v="8"/>
    <x v="1"/>
    <x v="1041"/>
    <x v="152"/>
    <x v="1"/>
    <x v="1189"/>
  </r>
  <r>
    <x v="1229"/>
    <x v="5"/>
    <x v="23"/>
    <x v="2"/>
    <x v="13"/>
    <x v="23"/>
    <x v="0"/>
    <x v="176"/>
    <x v="0"/>
    <x v="0"/>
    <x v="1190"/>
  </r>
  <r>
    <x v="1230"/>
    <x v="33"/>
    <x v="13"/>
    <x v="5"/>
    <x v="15"/>
    <x v="3"/>
    <x v="0"/>
    <x v="1042"/>
    <x v="0"/>
    <x v="0"/>
    <x v="1191"/>
  </r>
  <r>
    <x v="1231"/>
    <x v="15"/>
    <x v="21"/>
    <x v="2"/>
    <x v="6"/>
    <x v="17"/>
    <x v="0"/>
    <x v="61"/>
    <x v="0"/>
    <x v="0"/>
    <x v="1192"/>
  </r>
  <r>
    <x v="1232"/>
    <x v="31"/>
    <x v="2"/>
    <x v="2"/>
    <x v="2"/>
    <x v="12"/>
    <x v="0"/>
    <x v="43"/>
    <x v="0"/>
    <x v="0"/>
    <x v="1193"/>
  </r>
  <r>
    <x v="1233"/>
    <x v="37"/>
    <x v="4"/>
    <x v="5"/>
    <x v="15"/>
    <x v="17"/>
    <x v="0"/>
    <x v="633"/>
    <x v="0"/>
    <x v="0"/>
    <x v="1194"/>
  </r>
  <r>
    <x v="1234"/>
    <x v="10"/>
    <x v="8"/>
    <x v="2"/>
    <x v="2"/>
    <x v="26"/>
    <x v="1"/>
    <x v="1043"/>
    <x v="0"/>
    <x v="0"/>
    <x v="1"/>
  </r>
  <r>
    <x v="1235"/>
    <x v="12"/>
    <x v="21"/>
    <x v="1"/>
    <x v="14"/>
    <x v="0"/>
    <x v="1"/>
    <x v="1044"/>
    <x v="0"/>
    <x v="0"/>
    <x v="1195"/>
  </r>
  <r>
    <x v="1236"/>
    <x v="3"/>
    <x v="20"/>
    <x v="4"/>
    <x v="5"/>
    <x v="8"/>
    <x v="1"/>
    <x v="523"/>
    <x v="0"/>
    <x v="0"/>
    <x v="1196"/>
  </r>
  <r>
    <x v="1237"/>
    <x v="11"/>
    <x v="16"/>
    <x v="2"/>
    <x v="13"/>
    <x v="16"/>
    <x v="0"/>
    <x v="175"/>
    <x v="153"/>
    <x v="1"/>
    <x v="1197"/>
  </r>
  <r>
    <x v="1238"/>
    <x v="33"/>
    <x v="22"/>
    <x v="5"/>
    <x v="7"/>
    <x v="16"/>
    <x v="0"/>
    <x v="925"/>
    <x v="0"/>
    <x v="0"/>
    <x v="1198"/>
  </r>
  <r>
    <x v="1239"/>
    <x v="23"/>
    <x v="15"/>
    <x v="3"/>
    <x v="3"/>
    <x v="7"/>
    <x v="0"/>
    <x v="1045"/>
    <x v="0"/>
    <x v="0"/>
    <x v="1199"/>
  </r>
  <r>
    <x v="1240"/>
    <x v="20"/>
    <x v="2"/>
    <x v="1"/>
    <x v="14"/>
    <x v="7"/>
    <x v="1"/>
    <x v="1046"/>
    <x v="154"/>
    <x v="1"/>
    <x v="1200"/>
  </r>
  <r>
    <x v="513"/>
    <x v="24"/>
    <x v="2"/>
    <x v="3"/>
    <x v="10"/>
    <x v="17"/>
    <x v="0"/>
    <x v="481"/>
    <x v="0"/>
    <x v="0"/>
    <x v="499"/>
  </r>
  <r>
    <x v="1241"/>
    <x v="4"/>
    <x v="7"/>
    <x v="2"/>
    <x v="6"/>
    <x v="3"/>
    <x v="1"/>
    <x v="476"/>
    <x v="0"/>
    <x v="0"/>
    <x v="1201"/>
  </r>
  <r>
    <x v="1242"/>
    <x v="30"/>
    <x v="17"/>
    <x v="1"/>
    <x v="1"/>
    <x v="3"/>
    <x v="1"/>
    <x v="1047"/>
    <x v="0"/>
    <x v="0"/>
    <x v="1202"/>
  </r>
  <r>
    <x v="1243"/>
    <x v="29"/>
    <x v="7"/>
    <x v="3"/>
    <x v="10"/>
    <x v="23"/>
    <x v="0"/>
    <x v="1048"/>
    <x v="0"/>
    <x v="0"/>
    <x v="1203"/>
  </r>
  <r>
    <x v="1244"/>
    <x v="19"/>
    <x v="14"/>
    <x v="4"/>
    <x v="4"/>
    <x v="13"/>
    <x v="0"/>
    <x v="722"/>
    <x v="155"/>
    <x v="1"/>
    <x v="1204"/>
  </r>
  <r>
    <x v="1245"/>
    <x v="16"/>
    <x v="13"/>
    <x v="3"/>
    <x v="3"/>
    <x v="8"/>
    <x v="0"/>
    <x v="1049"/>
    <x v="0"/>
    <x v="0"/>
    <x v="1205"/>
  </r>
  <r>
    <x v="1246"/>
    <x v="0"/>
    <x v="14"/>
    <x v="4"/>
    <x v="8"/>
    <x v="2"/>
    <x v="1"/>
    <x v="1050"/>
    <x v="0"/>
    <x v="0"/>
    <x v="1206"/>
  </r>
  <r>
    <x v="1247"/>
    <x v="30"/>
    <x v="16"/>
    <x v="2"/>
    <x v="2"/>
    <x v="26"/>
    <x v="1"/>
    <x v="1051"/>
    <x v="0"/>
    <x v="0"/>
    <x v="1207"/>
  </r>
  <r>
    <x v="1248"/>
    <x v="27"/>
    <x v="19"/>
    <x v="2"/>
    <x v="13"/>
    <x v="14"/>
    <x v="1"/>
    <x v="1052"/>
    <x v="0"/>
    <x v="0"/>
    <x v="1208"/>
  </r>
  <r>
    <x v="1249"/>
    <x v="33"/>
    <x v="13"/>
    <x v="1"/>
    <x v="11"/>
    <x v="23"/>
    <x v="0"/>
    <x v="1053"/>
    <x v="156"/>
    <x v="1"/>
    <x v="1209"/>
  </r>
  <r>
    <x v="1250"/>
    <x v="6"/>
    <x v="12"/>
    <x v="1"/>
    <x v="11"/>
    <x v="12"/>
    <x v="0"/>
    <x v="1054"/>
    <x v="0"/>
    <x v="0"/>
    <x v="1210"/>
  </r>
  <r>
    <x v="1251"/>
    <x v="9"/>
    <x v="21"/>
    <x v="2"/>
    <x v="6"/>
    <x v="2"/>
    <x v="0"/>
    <x v="224"/>
    <x v="157"/>
    <x v="1"/>
    <x v="1211"/>
  </r>
  <r>
    <x v="1252"/>
    <x v="28"/>
    <x v="11"/>
    <x v="5"/>
    <x v="15"/>
    <x v="19"/>
    <x v="1"/>
    <x v="882"/>
    <x v="158"/>
    <x v="1"/>
    <x v="1212"/>
  </r>
  <r>
    <x v="1253"/>
    <x v="36"/>
    <x v="23"/>
    <x v="4"/>
    <x v="8"/>
    <x v="23"/>
    <x v="1"/>
    <x v="631"/>
    <x v="0"/>
    <x v="0"/>
    <x v="1213"/>
  </r>
  <r>
    <x v="1254"/>
    <x v="4"/>
    <x v="22"/>
    <x v="2"/>
    <x v="6"/>
    <x v="3"/>
    <x v="1"/>
    <x v="797"/>
    <x v="0"/>
    <x v="0"/>
    <x v="1214"/>
  </r>
  <r>
    <x v="1255"/>
    <x v="6"/>
    <x v="3"/>
    <x v="1"/>
    <x v="1"/>
    <x v="23"/>
    <x v="0"/>
    <x v="623"/>
    <x v="159"/>
    <x v="1"/>
    <x v="1215"/>
  </r>
  <r>
    <x v="1256"/>
    <x v="4"/>
    <x v="22"/>
    <x v="4"/>
    <x v="5"/>
    <x v="29"/>
    <x v="1"/>
    <x v="637"/>
    <x v="0"/>
    <x v="0"/>
    <x v="1216"/>
  </r>
  <r>
    <x v="1257"/>
    <x v="14"/>
    <x v="17"/>
    <x v="1"/>
    <x v="12"/>
    <x v="18"/>
    <x v="0"/>
    <x v="1055"/>
    <x v="160"/>
    <x v="1"/>
    <x v="1217"/>
  </r>
  <r>
    <x v="1258"/>
    <x v="35"/>
    <x v="23"/>
    <x v="4"/>
    <x v="5"/>
    <x v="15"/>
    <x v="0"/>
    <x v="533"/>
    <x v="0"/>
    <x v="0"/>
    <x v="1218"/>
  </r>
  <r>
    <x v="1259"/>
    <x v="15"/>
    <x v="18"/>
    <x v="0"/>
    <x v="9"/>
    <x v="19"/>
    <x v="0"/>
    <x v="306"/>
    <x v="0"/>
    <x v="0"/>
    <x v="1"/>
  </r>
  <r>
    <x v="1260"/>
    <x v="0"/>
    <x v="21"/>
    <x v="1"/>
    <x v="12"/>
    <x v="12"/>
    <x v="0"/>
    <x v="1056"/>
    <x v="0"/>
    <x v="0"/>
    <x v="1219"/>
  </r>
  <r>
    <x v="1261"/>
    <x v="37"/>
    <x v="19"/>
    <x v="2"/>
    <x v="6"/>
    <x v="16"/>
    <x v="0"/>
    <x v="1057"/>
    <x v="0"/>
    <x v="0"/>
    <x v="1220"/>
  </r>
  <r>
    <x v="1262"/>
    <x v="10"/>
    <x v="4"/>
    <x v="0"/>
    <x v="0"/>
    <x v="21"/>
    <x v="0"/>
    <x v="1058"/>
    <x v="0"/>
    <x v="0"/>
    <x v="1221"/>
  </r>
  <r>
    <x v="1263"/>
    <x v="30"/>
    <x v="12"/>
    <x v="0"/>
    <x v="9"/>
    <x v="6"/>
    <x v="0"/>
    <x v="476"/>
    <x v="155"/>
    <x v="1"/>
    <x v="1222"/>
  </r>
  <r>
    <x v="1264"/>
    <x v="6"/>
    <x v="20"/>
    <x v="4"/>
    <x v="5"/>
    <x v="31"/>
    <x v="1"/>
    <x v="688"/>
    <x v="0"/>
    <x v="0"/>
    <x v="1223"/>
  </r>
  <r>
    <x v="1265"/>
    <x v="3"/>
    <x v="7"/>
    <x v="4"/>
    <x v="8"/>
    <x v="7"/>
    <x v="0"/>
    <x v="725"/>
    <x v="0"/>
    <x v="0"/>
    <x v="1224"/>
  </r>
  <r>
    <x v="1266"/>
    <x v="22"/>
    <x v="4"/>
    <x v="1"/>
    <x v="11"/>
    <x v="6"/>
    <x v="0"/>
    <x v="1059"/>
    <x v="0"/>
    <x v="0"/>
    <x v="1225"/>
  </r>
  <r>
    <x v="1267"/>
    <x v="36"/>
    <x v="8"/>
    <x v="3"/>
    <x v="10"/>
    <x v="21"/>
    <x v="0"/>
    <x v="893"/>
    <x v="0"/>
    <x v="0"/>
    <x v="1226"/>
  </r>
  <r>
    <x v="1268"/>
    <x v="5"/>
    <x v="14"/>
    <x v="1"/>
    <x v="14"/>
    <x v="0"/>
    <x v="0"/>
    <x v="1060"/>
    <x v="0"/>
    <x v="0"/>
    <x v="1227"/>
  </r>
  <r>
    <x v="1269"/>
    <x v="13"/>
    <x v="7"/>
    <x v="4"/>
    <x v="5"/>
    <x v="10"/>
    <x v="0"/>
    <x v="649"/>
    <x v="0"/>
    <x v="0"/>
    <x v="667"/>
  </r>
  <r>
    <x v="1270"/>
    <x v="4"/>
    <x v="8"/>
    <x v="2"/>
    <x v="13"/>
    <x v="3"/>
    <x v="1"/>
    <x v="1061"/>
    <x v="0"/>
    <x v="0"/>
    <x v="1228"/>
  </r>
  <r>
    <x v="1271"/>
    <x v="11"/>
    <x v="16"/>
    <x v="4"/>
    <x v="8"/>
    <x v="0"/>
    <x v="0"/>
    <x v="1062"/>
    <x v="0"/>
    <x v="0"/>
    <x v="1229"/>
  </r>
  <r>
    <x v="1272"/>
    <x v="26"/>
    <x v="21"/>
    <x v="2"/>
    <x v="13"/>
    <x v="23"/>
    <x v="1"/>
    <x v="1063"/>
    <x v="0"/>
    <x v="0"/>
    <x v="1230"/>
  </r>
  <r>
    <x v="1273"/>
    <x v="39"/>
    <x v="0"/>
    <x v="1"/>
    <x v="1"/>
    <x v="3"/>
    <x v="1"/>
    <x v="1064"/>
    <x v="0"/>
    <x v="0"/>
    <x v="1231"/>
  </r>
  <r>
    <x v="1274"/>
    <x v="30"/>
    <x v="10"/>
    <x v="3"/>
    <x v="10"/>
    <x v="21"/>
    <x v="1"/>
    <x v="364"/>
    <x v="0"/>
    <x v="0"/>
    <x v="1232"/>
  </r>
  <r>
    <x v="1275"/>
    <x v="27"/>
    <x v="13"/>
    <x v="4"/>
    <x v="4"/>
    <x v="8"/>
    <x v="1"/>
    <x v="1065"/>
    <x v="0"/>
    <x v="0"/>
    <x v="1233"/>
  </r>
  <r>
    <x v="1276"/>
    <x v="9"/>
    <x v="12"/>
    <x v="3"/>
    <x v="10"/>
    <x v="18"/>
    <x v="1"/>
    <x v="1066"/>
    <x v="0"/>
    <x v="0"/>
    <x v="1234"/>
  </r>
  <r>
    <x v="1277"/>
    <x v="26"/>
    <x v="9"/>
    <x v="1"/>
    <x v="1"/>
    <x v="29"/>
    <x v="1"/>
    <x v="1067"/>
    <x v="0"/>
    <x v="0"/>
    <x v="1235"/>
  </r>
  <r>
    <x v="1278"/>
    <x v="20"/>
    <x v="1"/>
    <x v="1"/>
    <x v="12"/>
    <x v="14"/>
    <x v="1"/>
    <x v="112"/>
    <x v="0"/>
    <x v="0"/>
    <x v="1236"/>
  </r>
  <r>
    <x v="1279"/>
    <x v="12"/>
    <x v="13"/>
    <x v="0"/>
    <x v="0"/>
    <x v="11"/>
    <x v="1"/>
    <x v="1068"/>
    <x v="0"/>
    <x v="0"/>
    <x v="1237"/>
  </r>
  <r>
    <x v="1280"/>
    <x v="39"/>
    <x v="4"/>
    <x v="2"/>
    <x v="2"/>
    <x v="6"/>
    <x v="0"/>
    <x v="1069"/>
    <x v="0"/>
    <x v="0"/>
    <x v="1238"/>
  </r>
  <r>
    <x v="1281"/>
    <x v="28"/>
    <x v="1"/>
    <x v="2"/>
    <x v="13"/>
    <x v="23"/>
    <x v="0"/>
    <x v="736"/>
    <x v="0"/>
    <x v="0"/>
    <x v="1239"/>
  </r>
  <r>
    <x v="1282"/>
    <x v="37"/>
    <x v="5"/>
    <x v="2"/>
    <x v="13"/>
    <x v="21"/>
    <x v="0"/>
    <x v="1070"/>
    <x v="161"/>
    <x v="1"/>
    <x v="1"/>
  </r>
  <r>
    <x v="1283"/>
    <x v="25"/>
    <x v="11"/>
    <x v="0"/>
    <x v="0"/>
    <x v="0"/>
    <x v="0"/>
    <x v="294"/>
    <x v="0"/>
    <x v="0"/>
    <x v="1240"/>
  </r>
  <r>
    <x v="1284"/>
    <x v="20"/>
    <x v="8"/>
    <x v="4"/>
    <x v="4"/>
    <x v="7"/>
    <x v="0"/>
    <x v="1071"/>
    <x v="9"/>
    <x v="1"/>
    <x v="1241"/>
  </r>
  <r>
    <x v="1285"/>
    <x v="1"/>
    <x v="12"/>
    <x v="4"/>
    <x v="5"/>
    <x v="22"/>
    <x v="1"/>
    <x v="1072"/>
    <x v="0"/>
    <x v="0"/>
    <x v="1242"/>
  </r>
  <r>
    <x v="1286"/>
    <x v="29"/>
    <x v="11"/>
    <x v="5"/>
    <x v="7"/>
    <x v="6"/>
    <x v="1"/>
    <x v="759"/>
    <x v="0"/>
    <x v="0"/>
    <x v="1243"/>
  </r>
  <r>
    <x v="742"/>
    <x v="17"/>
    <x v="19"/>
    <x v="0"/>
    <x v="9"/>
    <x v="3"/>
    <x v="0"/>
    <x v="673"/>
    <x v="0"/>
    <x v="0"/>
    <x v="723"/>
  </r>
  <r>
    <x v="1287"/>
    <x v="37"/>
    <x v="20"/>
    <x v="0"/>
    <x v="0"/>
    <x v="12"/>
    <x v="0"/>
    <x v="821"/>
    <x v="0"/>
    <x v="0"/>
    <x v="1244"/>
  </r>
  <r>
    <x v="1288"/>
    <x v="19"/>
    <x v="9"/>
    <x v="4"/>
    <x v="8"/>
    <x v="15"/>
    <x v="0"/>
    <x v="1073"/>
    <x v="0"/>
    <x v="0"/>
    <x v="1245"/>
  </r>
  <r>
    <x v="1289"/>
    <x v="28"/>
    <x v="0"/>
    <x v="1"/>
    <x v="11"/>
    <x v="8"/>
    <x v="0"/>
    <x v="894"/>
    <x v="0"/>
    <x v="0"/>
    <x v="1246"/>
  </r>
  <r>
    <x v="1290"/>
    <x v="36"/>
    <x v="8"/>
    <x v="4"/>
    <x v="5"/>
    <x v="20"/>
    <x v="0"/>
    <x v="1074"/>
    <x v="0"/>
    <x v="0"/>
    <x v="1247"/>
  </r>
  <r>
    <x v="1291"/>
    <x v="28"/>
    <x v="24"/>
    <x v="0"/>
    <x v="0"/>
    <x v="11"/>
    <x v="1"/>
    <x v="1075"/>
    <x v="0"/>
    <x v="0"/>
    <x v="1248"/>
  </r>
  <r>
    <x v="1292"/>
    <x v="28"/>
    <x v="5"/>
    <x v="1"/>
    <x v="14"/>
    <x v="29"/>
    <x v="0"/>
    <x v="1076"/>
    <x v="0"/>
    <x v="0"/>
    <x v="1249"/>
  </r>
  <r>
    <x v="1293"/>
    <x v="29"/>
    <x v="15"/>
    <x v="1"/>
    <x v="12"/>
    <x v="19"/>
    <x v="0"/>
    <x v="609"/>
    <x v="162"/>
    <x v="1"/>
    <x v="1250"/>
  </r>
  <r>
    <x v="1294"/>
    <x v="12"/>
    <x v="10"/>
    <x v="4"/>
    <x v="8"/>
    <x v="8"/>
    <x v="1"/>
    <x v="1077"/>
    <x v="0"/>
    <x v="0"/>
    <x v="1251"/>
  </r>
  <r>
    <x v="1295"/>
    <x v="12"/>
    <x v="3"/>
    <x v="5"/>
    <x v="16"/>
    <x v="16"/>
    <x v="0"/>
    <x v="1078"/>
    <x v="0"/>
    <x v="0"/>
    <x v="1252"/>
  </r>
  <r>
    <x v="1296"/>
    <x v="0"/>
    <x v="15"/>
    <x v="3"/>
    <x v="3"/>
    <x v="3"/>
    <x v="0"/>
    <x v="844"/>
    <x v="0"/>
    <x v="0"/>
    <x v="1253"/>
  </r>
  <r>
    <x v="1297"/>
    <x v="35"/>
    <x v="14"/>
    <x v="5"/>
    <x v="15"/>
    <x v="8"/>
    <x v="0"/>
    <x v="1079"/>
    <x v="0"/>
    <x v="0"/>
    <x v="1254"/>
  </r>
  <r>
    <x v="1298"/>
    <x v="1"/>
    <x v="5"/>
    <x v="5"/>
    <x v="16"/>
    <x v="22"/>
    <x v="1"/>
    <x v="922"/>
    <x v="163"/>
    <x v="1"/>
    <x v="1255"/>
  </r>
  <r>
    <x v="1299"/>
    <x v="37"/>
    <x v="0"/>
    <x v="5"/>
    <x v="15"/>
    <x v="10"/>
    <x v="0"/>
    <x v="1080"/>
    <x v="0"/>
    <x v="0"/>
    <x v="1256"/>
  </r>
  <r>
    <x v="1300"/>
    <x v="18"/>
    <x v="10"/>
    <x v="1"/>
    <x v="12"/>
    <x v="17"/>
    <x v="1"/>
    <x v="672"/>
    <x v="0"/>
    <x v="0"/>
    <x v="1257"/>
  </r>
  <r>
    <x v="1301"/>
    <x v="11"/>
    <x v="7"/>
    <x v="2"/>
    <x v="2"/>
    <x v="16"/>
    <x v="0"/>
    <x v="438"/>
    <x v="0"/>
    <x v="0"/>
    <x v="1258"/>
  </r>
  <r>
    <x v="1302"/>
    <x v="25"/>
    <x v="17"/>
    <x v="2"/>
    <x v="13"/>
    <x v="17"/>
    <x v="0"/>
    <x v="1081"/>
    <x v="0"/>
    <x v="0"/>
    <x v="1259"/>
  </r>
  <r>
    <x v="1303"/>
    <x v="0"/>
    <x v="9"/>
    <x v="2"/>
    <x v="6"/>
    <x v="4"/>
    <x v="0"/>
    <x v="1082"/>
    <x v="0"/>
    <x v="0"/>
    <x v="1260"/>
  </r>
  <r>
    <x v="1304"/>
    <x v="32"/>
    <x v="9"/>
    <x v="4"/>
    <x v="8"/>
    <x v="11"/>
    <x v="0"/>
    <x v="60"/>
    <x v="0"/>
    <x v="0"/>
    <x v="1261"/>
  </r>
  <r>
    <x v="1305"/>
    <x v="32"/>
    <x v="18"/>
    <x v="4"/>
    <x v="8"/>
    <x v="2"/>
    <x v="0"/>
    <x v="1083"/>
    <x v="0"/>
    <x v="0"/>
    <x v="1262"/>
  </r>
  <r>
    <x v="1306"/>
    <x v="4"/>
    <x v="3"/>
    <x v="4"/>
    <x v="4"/>
    <x v="14"/>
    <x v="0"/>
    <x v="1084"/>
    <x v="0"/>
    <x v="0"/>
    <x v="1"/>
  </r>
  <r>
    <x v="1307"/>
    <x v="25"/>
    <x v="7"/>
    <x v="0"/>
    <x v="9"/>
    <x v="2"/>
    <x v="1"/>
    <x v="790"/>
    <x v="0"/>
    <x v="0"/>
    <x v="1263"/>
  </r>
  <r>
    <x v="1308"/>
    <x v="0"/>
    <x v="16"/>
    <x v="4"/>
    <x v="5"/>
    <x v="19"/>
    <x v="0"/>
    <x v="296"/>
    <x v="0"/>
    <x v="0"/>
    <x v="1264"/>
  </r>
  <r>
    <x v="1309"/>
    <x v="9"/>
    <x v="1"/>
    <x v="1"/>
    <x v="12"/>
    <x v="11"/>
    <x v="1"/>
    <x v="562"/>
    <x v="0"/>
    <x v="0"/>
    <x v="1265"/>
  </r>
  <r>
    <x v="1310"/>
    <x v="9"/>
    <x v="16"/>
    <x v="4"/>
    <x v="5"/>
    <x v="8"/>
    <x v="0"/>
    <x v="1085"/>
    <x v="0"/>
    <x v="0"/>
    <x v="1266"/>
  </r>
  <r>
    <x v="1311"/>
    <x v="31"/>
    <x v="17"/>
    <x v="5"/>
    <x v="16"/>
    <x v="21"/>
    <x v="0"/>
    <x v="1086"/>
    <x v="0"/>
    <x v="0"/>
    <x v="1267"/>
  </r>
  <r>
    <x v="1312"/>
    <x v="35"/>
    <x v="11"/>
    <x v="1"/>
    <x v="11"/>
    <x v="21"/>
    <x v="1"/>
    <x v="1087"/>
    <x v="0"/>
    <x v="0"/>
    <x v="1268"/>
  </r>
  <r>
    <x v="1313"/>
    <x v="19"/>
    <x v="4"/>
    <x v="2"/>
    <x v="6"/>
    <x v="6"/>
    <x v="0"/>
    <x v="1088"/>
    <x v="0"/>
    <x v="0"/>
    <x v="1269"/>
  </r>
  <r>
    <x v="1314"/>
    <x v="19"/>
    <x v="0"/>
    <x v="3"/>
    <x v="3"/>
    <x v="7"/>
    <x v="0"/>
    <x v="1089"/>
    <x v="164"/>
    <x v="1"/>
    <x v="1270"/>
  </r>
  <r>
    <x v="1315"/>
    <x v="27"/>
    <x v="10"/>
    <x v="4"/>
    <x v="5"/>
    <x v="6"/>
    <x v="1"/>
    <x v="1090"/>
    <x v="0"/>
    <x v="0"/>
    <x v="1271"/>
  </r>
  <r>
    <x v="1316"/>
    <x v="1"/>
    <x v="21"/>
    <x v="1"/>
    <x v="14"/>
    <x v="17"/>
    <x v="0"/>
    <x v="456"/>
    <x v="0"/>
    <x v="0"/>
    <x v="1272"/>
  </r>
  <r>
    <x v="1317"/>
    <x v="35"/>
    <x v="17"/>
    <x v="0"/>
    <x v="0"/>
    <x v="11"/>
    <x v="0"/>
    <x v="1091"/>
    <x v="0"/>
    <x v="0"/>
    <x v="1273"/>
  </r>
  <r>
    <x v="1318"/>
    <x v="22"/>
    <x v="4"/>
    <x v="5"/>
    <x v="16"/>
    <x v="4"/>
    <x v="0"/>
    <x v="1092"/>
    <x v="0"/>
    <x v="0"/>
    <x v="1274"/>
  </r>
  <r>
    <x v="1319"/>
    <x v="19"/>
    <x v="2"/>
    <x v="4"/>
    <x v="4"/>
    <x v="31"/>
    <x v="0"/>
    <x v="1093"/>
    <x v="0"/>
    <x v="0"/>
    <x v="1275"/>
  </r>
  <r>
    <x v="1320"/>
    <x v="22"/>
    <x v="4"/>
    <x v="4"/>
    <x v="5"/>
    <x v="14"/>
    <x v="0"/>
    <x v="1094"/>
    <x v="0"/>
    <x v="0"/>
    <x v="1276"/>
  </r>
  <r>
    <x v="1321"/>
    <x v="20"/>
    <x v="11"/>
    <x v="4"/>
    <x v="4"/>
    <x v="8"/>
    <x v="1"/>
    <x v="1095"/>
    <x v="0"/>
    <x v="0"/>
    <x v="1277"/>
  </r>
  <r>
    <x v="1322"/>
    <x v="23"/>
    <x v="8"/>
    <x v="2"/>
    <x v="6"/>
    <x v="8"/>
    <x v="0"/>
    <x v="1096"/>
    <x v="165"/>
    <x v="1"/>
    <x v="1278"/>
  </r>
  <r>
    <x v="1323"/>
    <x v="24"/>
    <x v="13"/>
    <x v="4"/>
    <x v="4"/>
    <x v="3"/>
    <x v="0"/>
    <x v="1097"/>
    <x v="0"/>
    <x v="0"/>
    <x v="1279"/>
  </r>
  <r>
    <x v="1324"/>
    <x v="11"/>
    <x v="22"/>
    <x v="4"/>
    <x v="4"/>
    <x v="12"/>
    <x v="1"/>
    <x v="1098"/>
    <x v="0"/>
    <x v="0"/>
    <x v="1280"/>
  </r>
  <r>
    <x v="1325"/>
    <x v="14"/>
    <x v="21"/>
    <x v="1"/>
    <x v="1"/>
    <x v="17"/>
    <x v="0"/>
    <x v="1099"/>
    <x v="0"/>
    <x v="0"/>
    <x v="1281"/>
  </r>
  <r>
    <x v="1326"/>
    <x v="17"/>
    <x v="3"/>
    <x v="0"/>
    <x v="0"/>
    <x v="23"/>
    <x v="0"/>
    <x v="6"/>
    <x v="0"/>
    <x v="0"/>
    <x v="1282"/>
  </r>
  <r>
    <x v="1327"/>
    <x v="35"/>
    <x v="6"/>
    <x v="4"/>
    <x v="8"/>
    <x v="14"/>
    <x v="1"/>
    <x v="1100"/>
    <x v="0"/>
    <x v="0"/>
    <x v="1"/>
  </r>
  <r>
    <x v="1328"/>
    <x v="26"/>
    <x v="16"/>
    <x v="5"/>
    <x v="15"/>
    <x v="6"/>
    <x v="0"/>
    <x v="1101"/>
    <x v="0"/>
    <x v="0"/>
    <x v="1"/>
  </r>
  <r>
    <x v="1329"/>
    <x v="22"/>
    <x v="12"/>
    <x v="1"/>
    <x v="14"/>
    <x v="0"/>
    <x v="0"/>
    <x v="618"/>
    <x v="0"/>
    <x v="0"/>
    <x v="1283"/>
  </r>
  <r>
    <x v="1330"/>
    <x v="24"/>
    <x v="7"/>
    <x v="4"/>
    <x v="8"/>
    <x v="11"/>
    <x v="0"/>
    <x v="1102"/>
    <x v="0"/>
    <x v="0"/>
    <x v="1284"/>
  </r>
  <r>
    <x v="1331"/>
    <x v="7"/>
    <x v="19"/>
    <x v="3"/>
    <x v="3"/>
    <x v="31"/>
    <x v="1"/>
    <x v="1103"/>
    <x v="0"/>
    <x v="0"/>
    <x v="1285"/>
  </r>
  <r>
    <x v="1332"/>
    <x v="8"/>
    <x v="4"/>
    <x v="2"/>
    <x v="6"/>
    <x v="17"/>
    <x v="0"/>
    <x v="1104"/>
    <x v="0"/>
    <x v="0"/>
    <x v="1286"/>
  </r>
  <r>
    <x v="1333"/>
    <x v="15"/>
    <x v="24"/>
    <x v="2"/>
    <x v="13"/>
    <x v="31"/>
    <x v="0"/>
    <x v="1067"/>
    <x v="0"/>
    <x v="0"/>
    <x v="1287"/>
  </r>
  <r>
    <x v="1334"/>
    <x v="31"/>
    <x v="4"/>
    <x v="4"/>
    <x v="8"/>
    <x v="21"/>
    <x v="0"/>
    <x v="387"/>
    <x v="0"/>
    <x v="0"/>
    <x v="1288"/>
  </r>
  <r>
    <x v="1335"/>
    <x v="9"/>
    <x v="24"/>
    <x v="4"/>
    <x v="5"/>
    <x v="3"/>
    <x v="1"/>
    <x v="792"/>
    <x v="0"/>
    <x v="0"/>
    <x v="1289"/>
  </r>
  <r>
    <x v="1336"/>
    <x v="18"/>
    <x v="1"/>
    <x v="5"/>
    <x v="15"/>
    <x v="16"/>
    <x v="0"/>
    <x v="1105"/>
    <x v="0"/>
    <x v="0"/>
    <x v="1290"/>
  </r>
  <r>
    <x v="1337"/>
    <x v="31"/>
    <x v="6"/>
    <x v="1"/>
    <x v="14"/>
    <x v="7"/>
    <x v="0"/>
    <x v="173"/>
    <x v="0"/>
    <x v="0"/>
    <x v="1291"/>
  </r>
  <r>
    <x v="1338"/>
    <x v="0"/>
    <x v="9"/>
    <x v="2"/>
    <x v="6"/>
    <x v="23"/>
    <x v="0"/>
    <x v="1106"/>
    <x v="0"/>
    <x v="0"/>
    <x v="1292"/>
  </r>
  <r>
    <x v="1339"/>
    <x v="5"/>
    <x v="14"/>
    <x v="1"/>
    <x v="12"/>
    <x v="5"/>
    <x v="0"/>
    <x v="1107"/>
    <x v="0"/>
    <x v="0"/>
    <x v="1293"/>
  </r>
  <r>
    <x v="1340"/>
    <x v="4"/>
    <x v="19"/>
    <x v="4"/>
    <x v="8"/>
    <x v="12"/>
    <x v="0"/>
    <x v="1108"/>
    <x v="0"/>
    <x v="0"/>
    <x v="1294"/>
  </r>
  <r>
    <x v="1341"/>
    <x v="1"/>
    <x v="8"/>
    <x v="2"/>
    <x v="6"/>
    <x v="6"/>
    <x v="1"/>
    <x v="1109"/>
    <x v="0"/>
    <x v="0"/>
    <x v="1295"/>
  </r>
  <r>
    <x v="1342"/>
    <x v="25"/>
    <x v="14"/>
    <x v="1"/>
    <x v="14"/>
    <x v="20"/>
    <x v="1"/>
    <x v="928"/>
    <x v="0"/>
    <x v="0"/>
    <x v="1296"/>
  </r>
  <r>
    <x v="1343"/>
    <x v="33"/>
    <x v="11"/>
    <x v="5"/>
    <x v="15"/>
    <x v="1"/>
    <x v="1"/>
    <x v="1110"/>
    <x v="0"/>
    <x v="0"/>
    <x v="1297"/>
  </r>
  <r>
    <x v="1344"/>
    <x v="2"/>
    <x v="0"/>
    <x v="1"/>
    <x v="11"/>
    <x v="23"/>
    <x v="1"/>
    <x v="716"/>
    <x v="0"/>
    <x v="0"/>
    <x v="1"/>
  </r>
  <r>
    <x v="1345"/>
    <x v="35"/>
    <x v="6"/>
    <x v="1"/>
    <x v="12"/>
    <x v="11"/>
    <x v="0"/>
    <x v="1111"/>
    <x v="0"/>
    <x v="0"/>
    <x v="1298"/>
  </r>
  <r>
    <x v="1346"/>
    <x v="10"/>
    <x v="24"/>
    <x v="3"/>
    <x v="3"/>
    <x v="3"/>
    <x v="0"/>
    <x v="1112"/>
    <x v="0"/>
    <x v="0"/>
    <x v="1299"/>
  </r>
  <r>
    <x v="1347"/>
    <x v="7"/>
    <x v="18"/>
    <x v="0"/>
    <x v="9"/>
    <x v="35"/>
    <x v="0"/>
    <x v="1113"/>
    <x v="0"/>
    <x v="0"/>
    <x v="1300"/>
  </r>
  <r>
    <x v="1348"/>
    <x v="19"/>
    <x v="16"/>
    <x v="4"/>
    <x v="4"/>
    <x v="2"/>
    <x v="0"/>
    <x v="1114"/>
    <x v="1"/>
    <x v="1"/>
    <x v="1301"/>
  </r>
  <r>
    <x v="1349"/>
    <x v="5"/>
    <x v="22"/>
    <x v="4"/>
    <x v="5"/>
    <x v="14"/>
    <x v="0"/>
    <x v="436"/>
    <x v="0"/>
    <x v="0"/>
    <x v="1302"/>
  </r>
  <r>
    <x v="1350"/>
    <x v="2"/>
    <x v="2"/>
    <x v="1"/>
    <x v="11"/>
    <x v="20"/>
    <x v="0"/>
    <x v="1115"/>
    <x v="0"/>
    <x v="0"/>
    <x v="1303"/>
  </r>
  <r>
    <x v="1351"/>
    <x v="23"/>
    <x v="13"/>
    <x v="2"/>
    <x v="2"/>
    <x v="4"/>
    <x v="0"/>
    <x v="1116"/>
    <x v="0"/>
    <x v="0"/>
    <x v="1304"/>
  </r>
  <r>
    <x v="1352"/>
    <x v="22"/>
    <x v="21"/>
    <x v="4"/>
    <x v="8"/>
    <x v="2"/>
    <x v="1"/>
    <x v="1117"/>
    <x v="19"/>
    <x v="1"/>
    <x v="1305"/>
  </r>
  <r>
    <x v="1353"/>
    <x v="28"/>
    <x v="15"/>
    <x v="1"/>
    <x v="14"/>
    <x v="12"/>
    <x v="1"/>
    <x v="1039"/>
    <x v="0"/>
    <x v="0"/>
    <x v="1306"/>
  </r>
  <r>
    <x v="1354"/>
    <x v="11"/>
    <x v="5"/>
    <x v="1"/>
    <x v="1"/>
    <x v="20"/>
    <x v="1"/>
    <x v="887"/>
    <x v="0"/>
    <x v="0"/>
    <x v="1307"/>
  </r>
  <r>
    <x v="1355"/>
    <x v="20"/>
    <x v="0"/>
    <x v="5"/>
    <x v="16"/>
    <x v="20"/>
    <x v="0"/>
    <x v="1118"/>
    <x v="0"/>
    <x v="0"/>
    <x v="1308"/>
  </r>
  <r>
    <x v="1356"/>
    <x v="19"/>
    <x v="13"/>
    <x v="4"/>
    <x v="8"/>
    <x v="23"/>
    <x v="0"/>
    <x v="570"/>
    <x v="0"/>
    <x v="0"/>
    <x v="1309"/>
  </r>
  <r>
    <x v="1357"/>
    <x v="31"/>
    <x v="22"/>
    <x v="5"/>
    <x v="16"/>
    <x v="10"/>
    <x v="1"/>
    <x v="885"/>
    <x v="0"/>
    <x v="0"/>
    <x v="1310"/>
  </r>
  <r>
    <x v="1358"/>
    <x v="22"/>
    <x v="13"/>
    <x v="5"/>
    <x v="7"/>
    <x v="14"/>
    <x v="0"/>
    <x v="902"/>
    <x v="166"/>
    <x v="1"/>
    <x v="1311"/>
  </r>
  <r>
    <x v="1359"/>
    <x v="9"/>
    <x v="11"/>
    <x v="0"/>
    <x v="9"/>
    <x v="12"/>
    <x v="1"/>
    <x v="1007"/>
    <x v="0"/>
    <x v="0"/>
    <x v="1312"/>
  </r>
  <r>
    <x v="1360"/>
    <x v="34"/>
    <x v="15"/>
    <x v="2"/>
    <x v="2"/>
    <x v="12"/>
    <x v="0"/>
    <x v="398"/>
    <x v="0"/>
    <x v="0"/>
    <x v="1313"/>
  </r>
  <r>
    <x v="1361"/>
    <x v="13"/>
    <x v="3"/>
    <x v="1"/>
    <x v="12"/>
    <x v="11"/>
    <x v="0"/>
    <x v="1119"/>
    <x v="0"/>
    <x v="0"/>
    <x v="1314"/>
  </r>
  <r>
    <x v="1362"/>
    <x v="39"/>
    <x v="24"/>
    <x v="1"/>
    <x v="11"/>
    <x v="5"/>
    <x v="1"/>
    <x v="1120"/>
    <x v="0"/>
    <x v="0"/>
    <x v="1315"/>
  </r>
  <r>
    <x v="1363"/>
    <x v="38"/>
    <x v="3"/>
    <x v="4"/>
    <x v="5"/>
    <x v="29"/>
    <x v="1"/>
    <x v="717"/>
    <x v="0"/>
    <x v="0"/>
    <x v="1316"/>
  </r>
  <r>
    <x v="1364"/>
    <x v="32"/>
    <x v="19"/>
    <x v="3"/>
    <x v="10"/>
    <x v="22"/>
    <x v="0"/>
    <x v="1121"/>
    <x v="0"/>
    <x v="0"/>
    <x v="1317"/>
  </r>
  <r>
    <x v="1365"/>
    <x v="13"/>
    <x v="2"/>
    <x v="5"/>
    <x v="7"/>
    <x v="10"/>
    <x v="1"/>
    <x v="1122"/>
    <x v="0"/>
    <x v="0"/>
    <x v="1318"/>
  </r>
  <r>
    <x v="1366"/>
    <x v="8"/>
    <x v="19"/>
    <x v="2"/>
    <x v="2"/>
    <x v="10"/>
    <x v="1"/>
    <x v="1123"/>
    <x v="0"/>
    <x v="0"/>
    <x v="1319"/>
  </r>
  <r>
    <x v="1367"/>
    <x v="33"/>
    <x v="18"/>
    <x v="3"/>
    <x v="10"/>
    <x v="2"/>
    <x v="0"/>
    <x v="1124"/>
    <x v="0"/>
    <x v="0"/>
    <x v="1320"/>
  </r>
  <r>
    <x v="1368"/>
    <x v="30"/>
    <x v="2"/>
    <x v="2"/>
    <x v="2"/>
    <x v="18"/>
    <x v="1"/>
    <x v="1125"/>
    <x v="0"/>
    <x v="0"/>
    <x v="1321"/>
  </r>
  <r>
    <x v="1369"/>
    <x v="12"/>
    <x v="7"/>
    <x v="1"/>
    <x v="12"/>
    <x v="21"/>
    <x v="1"/>
    <x v="1126"/>
    <x v="0"/>
    <x v="0"/>
    <x v="449"/>
  </r>
  <r>
    <x v="1370"/>
    <x v="24"/>
    <x v="4"/>
    <x v="4"/>
    <x v="4"/>
    <x v="20"/>
    <x v="0"/>
    <x v="906"/>
    <x v="0"/>
    <x v="0"/>
    <x v="1322"/>
  </r>
  <r>
    <x v="1371"/>
    <x v="14"/>
    <x v="10"/>
    <x v="1"/>
    <x v="12"/>
    <x v="8"/>
    <x v="1"/>
    <x v="1127"/>
    <x v="0"/>
    <x v="0"/>
    <x v="1323"/>
  </r>
  <r>
    <x v="1372"/>
    <x v="12"/>
    <x v="6"/>
    <x v="1"/>
    <x v="14"/>
    <x v="4"/>
    <x v="0"/>
    <x v="1128"/>
    <x v="0"/>
    <x v="0"/>
    <x v="1324"/>
  </r>
  <r>
    <x v="1373"/>
    <x v="14"/>
    <x v="23"/>
    <x v="3"/>
    <x v="3"/>
    <x v="9"/>
    <x v="0"/>
    <x v="638"/>
    <x v="0"/>
    <x v="0"/>
    <x v="1325"/>
  </r>
  <r>
    <x v="1374"/>
    <x v="11"/>
    <x v="20"/>
    <x v="2"/>
    <x v="13"/>
    <x v="7"/>
    <x v="1"/>
    <x v="1129"/>
    <x v="0"/>
    <x v="0"/>
    <x v="1326"/>
  </r>
  <r>
    <x v="1375"/>
    <x v="13"/>
    <x v="7"/>
    <x v="3"/>
    <x v="10"/>
    <x v="18"/>
    <x v="0"/>
    <x v="1130"/>
    <x v="0"/>
    <x v="0"/>
    <x v="1327"/>
  </r>
  <r>
    <x v="1376"/>
    <x v="23"/>
    <x v="5"/>
    <x v="4"/>
    <x v="5"/>
    <x v="5"/>
    <x v="1"/>
    <x v="310"/>
    <x v="167"/>
    <x v="1"/>
    <x v="1328"/>
  </r>
  <r>
    <x v="1377"/>
    <x v="0"/>
    <x v="24"/>
    <x v="4"/>
    <x v="4"/>
    <x v="11"/>
    <x v="0"/>
    <x v="1131"/>
    <x v="0"/>
    <x v="0"/>
    <x v="1329"/>
  </r>
  <r>
    <x v="1378"/>
    <x v="14"/>
    <x v="10"/>
    <x v="3"/>
    <x v="3"/>
    <x v="21"/>
    <x v="0"/>
    <x v="59"/>
    <x v="0"/>
    <x v="0"/>
    <x v="1330"/>
  </r>
  <r>
    <x v="1379"/>
    <x v="13"/>
    <x v="14"/>
    <x v="5"/>
    <x v="15"/>
    <x v="14"/>
    <x v="0"/>
    <x v="425"/>
    <x v="0"/>
    <x v="0"/>
    <x v="1331"/>
  </r>
  <r>
    <x v="1380"/>
    <x v="31"/>
    <x v="8"/>
    <x v="2"/>
    <x v="13"/>
    <x v="1"/>
    <x v="0"/>
    <x v="1009"/>
    <x v="168"/>
    <x v="1"/>
    <x v="1"/>
  </r>
  <r>
    <x v="1381"/>
    <x v="21"/>
    <x v="4"/>
    <x v="0"/>
    <x v="0"/>
    <x v="3"/>
    <x v="0"/>
    <x v="1132"/>
    <x v="0"/>
    <x v="0"/>
    <x v="1332"/>
  </r>
  <r>
    <x v="1382"/>
    <x v="33"/>
    <x v="7"/>
    <x v="5"/>
    <x v="16"/>
    <x v="23"/>
    <x v="0"/>
    <x v="1133"/>
    <x v="0"/>
    <x v="0"/>
    <x v="1333"/>
  </r>
  <r>
    <x v="436"/>
    <x v="13"/>
    <x v="4"/>
    <x v="1"/>
    <x v="14"/>
    <x v="3"/>
    <x v="0"/>
    <x v="414"/>
    <x v="0"/>
    <x v="0"/>
    <x v="424"/>
  </r>
  <r>
    <x v="1383"/>
    <x v="36"/>
    <x v="24"/>
    <x v="4"/>
    <x v="8"/>
    <x v="5"/>
    <x v="1"/>
    <x v="973"/>
    <x v="0"/>
    <x v="0"/>
    <x v="1334"/>
  </r>
  <r>
    <x v="1384"/>
    <x v="33"/>
    <x v="4"/>
    <x v="1"/>
    <x v="11"/>
    <x v="16"/>
    <x v="0"/>
    <x v="833"/>
    <x v="0"/>
    <x v="0"/>
    <x v="1335"/>
  </r>
  <r>
    <x v="1385"/>
    <x v="10"/>
    <x v="5"/>
    <x v="0"/>
    <x v="9"/>
    <x v="8"/>
    <x v="0"/>
    <x v="1134"/>
    <x v="0"/>
    <x v="0"/>
    <x v="1336"/>
  </r>
  <r>
    <x v="1386"/>
    <x v="37"/>
    <x v="17"/>
    <x v="3"/>
    <x v="10"/>
    <x v="12"/>
    <x v="1"/>
    <x v="368"/>
    <x v="0"/>
    <x v="0"/>
    <x v="1337"/>
  </r>
  <r>
    <x v="1387"/>
    <x v="32"/>
    <x v="13"/>
    <x v="3"/>
    <x v="10"/>
    <x v="12"/>
    <x v="0"/>
    <x v="1135"/>
    <x v="0"/>
    <x v="0"/>
    <x v="1338"/>
  </r>
  <r>
    <x v="1388"/>
    <x v="15"/>
    <x v="16"/>
    <x v="2"/>
    <x v="6"/>
    <x v="17"/>
    <x v="1"/>
    <x v="908"/>
    <x v="0"/>
    <x v="0"/>
    <x v="1339"/>
  </r>
  <r>
    <x v="1389"/>
    <x v="38"/>
    <x v="20"/>
    <x v="3"/>
    <x v="3"/>
    <x v="12"/>
    <x v="1"/>
    <x v="1136"/>
    <x v="0"/>
    <x v="0"/>
    <x v="1340"/>
  </r>
  <r>
    <x v="1390"/>
    <x v="23"/>
    <x v="15"/>
    <x v="3"/>
    <x v="3"/>
    <x v="7"/>
    <x v="1"/>
    <x v="1137"/>
    <x v="0"/>
    <x v="0"/>
    <x v="1"/>
  </r>
  <r>
    <x v="1391"/>
    <x v="2"/>
    <x v="13"/>
    <x v="2"/>
    <x v="2"/>
    <x v="11"/>
    <x v="1"/>
    <x v="1039"/>
    <x v="0"/>
    <x v="0"/>
    <x v="1341"/>
  </r>
  <r>
    <x v="1392"/>
    <x v="12"/>
    <x v="16"/>
    <x v="5"/>
    <x v="7"/>
    <x v="22"/>
    <x v="0"/>
    <x v="1138"/>
    <x v="0"/>
    <x v="0"/>
    <x v="1342"/>
  </r>
  <r>
    <x v="1393"/>
    <x v="19"/>
    <x v="1"/>
    <x v="2"/>
    <x v="13"/>
    <x v="14"/>
    <x v="1"/>
    <x v="597"/>
    <x v="0"/>
    <x v="0"/>
    <x v="1343"/>
  </r>
  <r>
    <x v="1394"/>
    <x v="29"/>
    <x v="6"/>
    <x v="4"/>
    <x v="8"/>
    <x v="3"/>
    <x v="1"/>
    <x v="1139"/>
    <x v="0"/>
    <x v="0"/>
    <x v="1344"/>
  </r>
  <r>
    <x v="1395"/>
    <x v="13"/>
    <x v="16"/>
    <x v="3"/>
    <x v="10"/>
    <x v="5"/>
    <x v="0"/>
    <x v="719"/>
    <x v="0"/>
    <x v="0"/>
    <x v="1345"/>
  </r>
  <r>
    <x v="1396"/>
    <x v="13"/>
    <x v="1"/>
    <x v="2"/>
    <x v="2"/>
    <x v="11"/>
    <x v="1"/>
    <x v="1140"/>
    <x v="0"/>
    <x v="0"/>
    <x v="1346"/>
  </r>
  <r>
    <x v="1397"/>
    <x v="37"/>
    <x v="6"/>
    <x v="1"/>
    <x v="12"/>
    <x v="11"/>
    <x v="1"/>
    <x v="1084"/>
    <x v="0"/>
    <x v="0"/>
    <x v="1347"/>
  </r>
  <r>
    <x v="1398"/>
    <x v="39"/>
    <x v="24"/>
    <x v="2"/>
    <x v="2"/>
    <x v="1"/>
    <x v="1"/>
    <x v="1141"/>
    <x v="0"/>
    <x v="0"/>
    <x v="1348"/>
  </r>
  <r>
    <x v="1399"/>
    <x v="32"/>
    <x v="20"/>
    <x v="0"/>
    <x v="9"/>
    <x v="0"/>
    <x v="0"/>
    <x v="1142"/>
    <x v="0"/>
    <x v="0"/>
    <x v="1349"/>
  </r>
  <r>
    <x v="1400"/>
    <x v="38"/>
    <x v="16"/>
    <x v="4"/>
    <x v="8"/>
    <x v="20"/>
    <x v="0"/>
    <x v="1143"/>
    <x v="0"/>
    <x v="0"/>
    <x v="1350"/>
  </r>
  <r>
    <x v="1401"/>
    <x v="5"/>
    <x v="8"/>
    <x v="1"/>
    <x v="14"/>
    <x v="7"/>
    <x v="1"/>
    <x v="1144"/>
    <x v="0"/>
    <x v="0"/>
    <x v="1351"/>
  </r>
  <r>
    <x v="1402"/>
    <x v="5"/>
    <x v="14"/>
    <x v="2"/>
    <x v="13"/>
    <x v="17"/>
    <x v="1"/>
    <x v="1145"/>
    <x v="0"/>
    <x v="0"/>
    <x v="1352"/>
  </r>
  <r>
    <x v="1403"/>
    <x v="9"/>
    <x v="17"/>
    <x v="3"/>
    <x v="3"/>
    <x v="7"/>
    <x v="0"/>
    <x v="1146"/>
    <x v="0"/>
    <x v="0"/>
    <x v="1353"/>
  </r>
  <r>
    <x v="1404"/>
    <x v="0"/>
    <x v="10"/>
    <x v="1"/>
    <x v="12"/>
    <x v="17"/>
    <x v="1"/>
    <x v="1147"/>
    <x v="0"/>
    <x v="0"/>
    <x v="1354"/>
  </r>
  <r>
    <x v="1405"/>
    <x v="9"/>
    <x v="9"/>
    <x v="4"/>
    <x v="5"/>
    <x v="21"/>
    <x v="0"/>
    <x v="1148"/>
    <x v="0"/>
    <x v="0"/>
    <x v="1"/>
  </r>
  <r>
    <x v="1406"/>
    <x v="14"/>
    <x v="12"/>
    <x v="4"/>
    <x v="8"/>
    <x v="3"/>
    <x v="1"/>
    <x v="1149"/>
    <x v="169"/>
    <x v="1"/>
    <x v="1355"/>
  </r>
  <r>
    <x v="1407"/>
    <x v="36"/>
    <x v="2"/>
    <x v="4"/>
    <x v="4"/>
    <x v="7"/>
    <x v="1"/>
    <x v="415"/>
    <x v="0"/>
    <x v="0"/>
    <x v="1356"/>
  </r>
  <r>
    <x v="1408"/>
    <x v="32"/>
    <x v="6"/>
    <x v="1"/>
    <x v="12"/>
    <x v="4"/>
    <x v="0"/>
    <x v="922"/>
    <x v="170"/>
    <x v="1"/>
    <x v="1357"/>
  </r>
  <r>
    <x v="1409"/>
    <x v="1"/>
    <x v="11"/>
    <x v="4"/>
    <x v="5"/>
    <x v="16"/>
    <x v="1"/>
    <x v="1150"/>
    <x v="0"/>
    <x v="0"/>
    <x v="1358"/>
  </r>
  <r>
    <x v="1410"/>
    <x v="5"/>
    <x v="15"/>
    <x v="4"/>
    <x v="8"/>
    <x v="21"/>
    <x v="0"/>
    <x v="1151"/>
    <x v="0"/>
    <x v="0"/>
    <x v="1359"/>
  </r>
  <r>
    <x v="1411"/>
    <x v="18"/>
    <x v="4"/>
    <x v="3"/>
    <x v="3"/>
    <x v="1"/>
    <x v="0"/>
    <x v="1152"/>
    <x v="0"/>
    <x v="0"/>
    <x v="1360"/>
  </r>
  <r>
    <x v="1412"/>
    <x v="6"/>
    <x v="23"/>
    <x v="4"/>
    <x v="4"/>
    <x v="1"/>
    <x v="0"/>
    <x v="1153"/>
    <x v="0"/>
    <x v="0"/>
    <x v="1361"/>
  </r>
  <r>
    <x v="1413"/>
    <x v="24"/>
    <x v="2"/>
    <x v="2"/>
    <x v="6"/>
    <x v="5"/>
    <x v="1"/>
    <x v="1154"/>
    <x v="1"/>
    <x v="1"/>
    <x v="1362"/>
  </r>
  <r>
    <x v="1414"/>
    <x v="30"/>
    <x v="19"/>
    <x v="4"/>
    <x v="8"/>
    <x v="21"/>
    <x v="0"/>
    <x v="1155"/>
    <x v="0"/>
    <x v="0"/>
    <x v="1363"/>
  </r>
  <r>
    <x v="1415"/>
    <x v="4"/>
    <x v="4"/>
    <x v="3"/>
    <x v="3"/>
    <x v="7"/>
    <x v="0"/>
    <x v="1156"/>
    <x v="171"/>
    <x v="1"/>
    <x v="1364"/>
  </r>
  <r>
    <x v="1416"/>
    <x v="33"/>
    <x v="2"/>
    <x v="1"/>
    <x v="11"/>
    <x v="11"/>
    <x v="0"/>
    <x v="1157"/>
    <x v="0"/>
    <x v="0"/>
    <x v="1365"/>
  </r>
  <r>
    <x v="1417"/>
    <x v="30"/>
    <x v="12"/>
    <x v="4"/>
    <x v="8"/>
    <x v="1"/>
    <x v="0"/>
    <x v="868"/>
    <x v="0"/>
    <x v="0"/>
    <x v="1366"/>
  </r>
  <r>
    <x v="1418"/>
    <x v="30"/>
    <x v="12"/>
    <x v="1"/>
    <x v="12"/>
    <x v="1"/>
    <x v="1"/>
    <x v="791"/>
    <x v="0"/>
    <x v="0"/>
    <x v="1367"/>
  </r>
  <r>
    <x v="1419"/>
    <x v="36"/>
    <x v="1"/>
    <x v="5"/>
    <x v="7"/>
    <x v="6"/>
    <x v="1"/>
    <x v="1158"/>
    <x v="0"/>
    <x v="0"/>
    <x v="1368"/>
  </r>
  <r>
    <x v="1420"/>
    <x v="26"/>
    <x v="12"/>
    <x v="4"/>
    <x v="4"/>
    <x v="7"/>
    <x v="1"/>
    <x v="1159"/>
    <x v="0"/>
    <x v="0"/>
    <x v="1369"/>
  </r>
  <r>
    <x v="1421"/>
    <x v="28"/>
    <x v="8"/>
    <x v="2"/>
    <x v="13"/>
    <x v="7"/>
    <x v="1"/>
    <x v="1160"/>
    <x v="0"/>
    <x v="0"/>
    <x v="1370"/>
  </r>
  <r>
    <x v="1422"/>
    <x v="17"/>
    <x v="23"/>
    <x v="3"/>
    <x v="3"/>
    <x v="4"/>
    <x v="1"/>
    <x v="1161"/>
    <x v="0"/>
    <x v="0"/>
    <x v="1371"/>
  </r>
  <r>
    <x v="1423"/>
    <x v="11"/>
    <x v="19"/>
    <x v="1"/>
    <x v="1"/>
    <x v="1"/>
    <x v="0"/>
    <x v="1162"/>
    <x v="0"/>
    <x v="0"/>
    <x v="1372"/>
  </r>
  <r>
    <x v="1424"/>
    <x v="36"/>
    <x v="12"/>
    <x v="5"/>
    <x v="16"/>
    <x v="0"/>
    <x v="0"/>
    <x v="527"/>
    <x v="0"/>
    <x v="0"/>
    <x v="1373"/>
  </r>
  <r>
    <x v="1425"/>
    <x v="15"/>
    <x v="17"/>
    <x v="4"/>
    <x v="8"/>
    <x v="23"/>
    <x v="0"/>
    <x v="997"/>
    <x v="0"/>
    <x v="0"/>
    <x v="1374"/>
  </r>
  <r>
    <x v="1426"/>
    <x v="38"/>
    <x v="22"/>
    <x v="4"/>
    <x v="8"/>
    <x v="4"/>
    <x v="0"/>
    <x v="1163"/>
    <x v="0"/>
    <x v="0"/>
    <x v="1375"/>
  </r>
  <r>
    <x v="1427"/>
    <x v="29"/>
    <x v="19"/>
    <x v="5"/>
    <x v="15"/>
    <x v="11"/>
    <x v="0"/>
    <x v="1164"/>
    <x v="0"/>
    <x v="0"/>
    <x v="1376"/>
  </r>
  <r>
    <x v="1428"/>
    <x v="1"/>
    <x v="15"/>
    <x v="1"/>
    <x v="12"/>
    <x v="16"/>
    <x v="0"/>
    <x v="849"/>
    <x v="0"/>
    <x v="0"/>
    <x v="1377"/>
  </r>
  <r>
    <x v="1429"/>
    <x v="6"/>
    <x v="20"/>
    <x v="3"/>
    <x v="10"/>
    <x v="5"/>
    <x v="1"/>
    <x v="1165"/>
    <x v="0"/>
    <x v="0"/>
    <x v="1378"/>
  </r>
  <r>
    <x v="1430"/>
    <x v="1"/>
    <x v="6"/>
    <x v="3"/>
    <x v="3"/>
    <x v="0"/>
    <x v="1"/>
    <x v="1166"/>
    <x v="0"/>
    <x v="0"/>
    <x v="1379"/>
  </r>
  <r>
    <x v="1431"/>
    <x v="30"/>
    <x v="2"/>
    <x v="4"/>
    <x v="8"/>
    <x v="1"/>
    <x v="0"/>
    <x v="489"/>
    <x v="0"/>
    <x v="0"/>
    <x v="1380"/>
  </r>
  <r>
    <x v="1432"/>
    <x v="12"/>
    <x v="5"/>
    <x v="2"/>
    <x v="2"/>
    <x v="17"/>
    <x v="0"/>
    <x v="427"/>
    <x v="0"/>
    <x v="0"/>
    <x v="1381"/>
  </r>
  <r>
    <x v="1433"/>
    <x v="36"/>
    <x v="11"/>
    <x v="3"/>
    <x v="3"/>
    <x v="9"/>
    <x v="1"/>
    <x v="829"/>
    <x v="0"/>
    <x v="0"/>
    <x v="1382"/>
  </r>
  <r>
    <x v="1434"/>
    <x v="25"/>
    <x v="24"/>
    <x v="4"/>
    <x v="4"/>
    <x v="7"/>
    <x v="1"/>
    <x v="1167"/>
    <x v="0"/>
    <x v="0"/>
    <x v="1383"/>
  </r>
  <r>
    <x v="1435"/>
    <x v="3"/>
    <x v="21"/>
    <x v="3"/>
    <x v="3"/>
    <x v="20"/>
    <x v="0"/>
    <x v="1093"/>
    <x v="0"/>
    <x v="0"/>
    <x v="1384"/>
  </r>
  <r>
    <x v="1436"/>
    <x v="19"/>
    <x v="7"/>
    <x v="4"/>
    <x v="5"/>
    <x v="21"/>
    <x v="0"/>
    <x v="1168"/>
    <x v="0"/>
    <x v="0"/>
    <x v="1385"/>
  </r>
  <r>
    <x v="1437"/>
    <x v="15"/>
    <x v="18"/>
    <x v="5"/>
    <x v="15"/>
    <x v="20"/>
    <x v="0"/>
    <x v="133"/>
    <x v="0"/>
    <x v="0"/>
    <x v="1386"/>
  </r>
  <r>
    <x v="1438"/>
    <x v="31"/>
    <x v="14"/>
    <x v="4"/>
    <x v="4"/>
    <x v="11"/>
    <x v="0"/>
    <x v="1169"/>
    <x v="0"/>
    <x v="0"/>
    <x v="1387"/>
  </r>
  <r>
    <x v="1439"/>
    <x v="2"/>
    <x v="11"/>
    <x v="2"/>
    <x v="6"/>
    <x v="17"/>
    <x v="1"/>
    <x v="1143"/>
    <x v="0"/>
    <x v="0"/>
    <x v="1388"/>
  </r>
  <r>
    <x v="1440"/>
    <x v="11"/>
    <x v="0"/>
    <x v="5"/>
    <x v="16"/>
    <x v="0"/>
    <x v="1"/>
    <x v="1170"/>
    <x v="0"/>
    <x v="0"/>
    <x v="1389"/>
  </r>
  <r>
    <x v="1441"/>
    <x v="22"/>
    <x v="10"/>
    <x v="1"/>
    <x v="14"/>
    <x v="1"/>
    <x v="0"/>
    <x v="1080"/>
    <x v="0"/>
    <x v="0"/>
    <x v="1390"/>
  </r>
  <r>
    <x v="1442"/>
    <x v="14"/>
    <x v="7"/>
    <x v="3"/>
    <x v="10"/>
    <x v="17"/>
    <x v="1"/>
    <x v="1171"/>
    <x v="0"/>
    <x v="0"/>
    <x v="1391"/>
  </r>
  <r>
    <x v="1443"/>
    <x v="32"/>
    <x v="18"/>
    <x v="4"/>
    <x v="8"/>
    <x v="12"/>
    <x v="0"/>
    <x v="1172"/>
    <x v="0"/>
    <x v="0"/>
    <x v="1392"/>
  </r>
  <r>
    <x v="1444"/>
    <x v="7"/>
    <x v="2"/>
    <x v="2"/>
    <x v="6"/>
    <x v="20"/>
    <x v="1"/>
    <x v="1173"/>
    <x v="0"/>
    <x v="0"/>
    <x v="1393"/>
  </r>
  <r>
    <x v="1445"/>
    <x v="17"/>
    <x v="13"/>
    <x v="4"/>
    <x v="8"/>
    <x v="19"/>
    <x v="0"/>
    <x v="1174"/>
    <x v="0"/>
    <x v="0"/>
    <x v="1394"/>
  </r>
  <r>
    <x v="1446"/>
    <x v="18"/>
    <x v="21"/>
    <x v="1"/>
    <x v="11"/>
    <x v="11"/>
    <x v="0"/>
    <x v="1175"/>
    <x v="0"/>
    <x v="0"/>
    <x v="1395"/>
  </r>
  <r>
    <x v="1447"/>
    <x v="26"/>
    <x v="17"/>
    <x v="1"/>
    <x v="14"/>
    <x v="3"/>
    <x v="0"/>
    <x v="1176"/>
    <x v="172"/>
    <x v="1"/>
    <x v="1396"/>
  </r>
  <r>
    <x v="1448"/>
    <x v="4"/>
    <x v="9"/>
    <x v="1"/>
    <x v="14"/>
    <x v="7"/>
    <x v="0"/>
    <x v="1177"/>
    <x v="0"/>
    <x v="0"/>
    <x v="1397"/>
  </r>
  <r>
    <x v="1449"/>
    <x v="26"/>
    <x v="19"/>
    <x v="0"/>
    <x v="9"/>
    <x v="23"/>
    <x v="0"/>
    <x v="431"/>
    <x v="0"/>
    <x v="0"/>
    <x v="1398"/>
  </r>
  <r>
    <x v="1450"/>
    <x v="34"/>
    <x v="9"/>
    <x v="0"/>
    <x v="9"/>
    <x v="8"/>
    <x v="1"/>
    <x v="815"/>
    <x v="0"/>
    <x v="0"/>
    <x v="1399"/>
  </r>
  <r>
    <x v="1451"/>
    <x v="23"/>
    <x v="6"/>
    <x v="3"/>
    <x v="3"/>
    <x v="4"/>
    <x v="0"/>
    <x v="933"/>
    <x v="0"/>
    <x v="0"/>
    <x v="1400"/>
  </r>
  <r>
    <x v="1452"/>
    <x v="34"/>
    <x v="2"/>
    <x v="1"/>
    <x v="11"/>
    <x v="24"/>
    <x v="0"/>
    <x v="1178"/>
    <x v="0"/>
    <x v="0"/>
    <x v="1401"/>
  </r>
  <r>
    <x v="1453"/>
    <x v="38"/>
    <x v="1"/>
    <x v="1"/>
    <x v="12"/>
    <x v="21"/>
    <x v="0"/>
    <x v="818"/>
    <x v="0"/>
    <x v="0"/>
    <x v="1402"/>
  </r>
  <r>
    <x v="1454"/>
    <x v="2"/>
    <x v="12"/>
    <x v="4"/>
    <x v="8"/>
    <x v="3"/>
    <x v="0"/>
    <x v="1179"/>
    <x v="0"/>
    <x v="0"/>
    <x v="1403"/>
  </r>
  <r>
    <x v="1455"/>
    <x v="10"/>
    <x v="13"/>
    <x v="2"/>
    <x v="13"/>
    <x v="6"/>
    <x v="1"/>
    <x v="1180"/>
    <x v="0"/>
    <x v="0"/>
    <x v="1404"/>
  </r>
  <r>
    <x v="1456"/>
    <x v="11"/>
    <x v="16"/>
    <x v="0"/>
    <x v="0"/>
    <x v="12"/>
    <x v="0"/>
    <x v="323"/>
    <x v="0"/>
    <x v="0"/>
    <x v="1405"/>
  </r>
  <r>
    <x v="1457"/>
    <x v="12"/>
    <x v="17"/>
    <x v="1"/>
    <x v="12"/>
    <x v="9"/>
    <x v="0"/>
    <x v="1181"/>
    <x v="0"/>
    <x v="0"/>
    <x v="1406"/>
  </r>
  <r>
    <x v="1458"/>
    <x v="13"/>
    <x v="9"/>
    <x v="2"/>
    <x v="6"/>
    <x v="2"/>
    <x v="0"/>
    <x v="1182"/>
    <x v="0"/>
    <x v="0"/>
    <x v="1407"/>
  </r>
  <r>
    <x v="1459"/>
    <x v="38"/>
    <x v="17"/>
    <x v="5"/>
    <x v="16"/>
    <x v="23"/>
    <x v="0"/>
    <x v="187"/>
    <x v="66"/>
    <x v="1"/>
    <x v="1"/>
  </r>
  <r>
    <x v="1460"/>
    <x v="39"/>
    <x v="5"/>
    <x v="1"/>
    <x v="1"/>
    <x v="2"/>
    <x v="1"/>
    <x v="1183"/>
    <x v="173"/>
    <x v="1"/>
    <x v="1408"/>
  </r>
  <r>
    <x v="1461"/>
    <x v="32"/>
    <x v="8"/>
    <x v="3"/>
    <x v="10"/>
    <x v="11"/>
    <x v="0"/>
    <x v="1184"/>
    <x v="0"/>
    <x v="0"/>
    <x v="1409"/>
  </r>
  <r>
    <x v="1462"/>
    <x v="7"/>
    <x v="9"/>
    <x v="2"/>
    <x v="2"/>
    <x v="7"/>
    <x v="1"/>
    <x v="798"/>
    <x v="0"/>
    <x v="0"/>
    <x v="1"/>
  </r>
  <r>
    <x v="1463"/>
    <x v="9"/>
    <x v="11"/>
    <x v="1"/>
    <x v="1"/>
    <x v="19"/>
    <x v="1"/>
    <x v="1185"/>
    <x v="174"/>
    <x v="1"/>
    <x v="1410"/>
  </r>
  <r>
    <x v="1464"/>
    <x v="33"/>
    <x v="24"/>
    <x v="1"/>
    <x v="12"/>
    <x v="7"/>
    <x v="0"/>
    <x v="1186"/>
    <x v="175"/>
    <x v="1"/>
    <x v="1411"/>
  </r>
  <r>
    <x v="1465"/>
    <x v="37"/>
    <x v="0"/>
    <x v="2"/>
    <x v="13"/>
    <x v="7"/>
    <x v="0"/>
    <x v="1187"/>
    <x v="0"/>
    <x v="0"/>
    <x v="1412"/>
  </r>
  <r>
    <x v="1466"/>
    <x v="9"/>
    <x v="15"/>
    <x v="1"/>
    <x v="14"/>
    <x v="2"/>
    <x v="0"/>
    <x v="1188"/>
    <x v="0"/>
    <x v="0"/>
    <x v="1413"/>
  </r>
  <r>
    <x v="1467"/>
    <x v="16"/>
    <x v="10"/>
    <x v="5"/>
    <x v="15"/>
    <x v="26"/>
    <x v="1"/>
    <x v="1189"/>
    <x v="0"/>
    <x v="0"/>
    <x v="1414"/>
  </r>
  <r>
    <x v="1468"/>
    <x v="12"/>
    <x v="5"/>
    <x v="5"/>
    <x v="15"/>
    <x v="21"/>
    <x v="1"/>
    <x v="1190"/>
    <x v="0"/>
    <x v="0"/>
    <x v="647"/>
  </r>
  <r>
    <x v="1416"/>
    <x v="33"/>
    <x v="2"/>
    <x v="1"/>
    <x v="11"/>
    <x v="11"/>
    <x v="0"/>
    <x v="1157"/>
    <x v="0"/>
    <x v="0"/>
    <x v="1365"/>
  </r>
  <r>
    <x v="1469"/>
    <x v="34"/>
    <x v="11"/>
    <x v="2"/>
    <x v="13"/>
    <x v="8"/>
    <x v="1"/>
    <x v="1191"/>
    <x v="0"/>
    <x v="0"/>
    <x v="1415"/>
  </r>
  <r>
    <x v="1470"/>
    <x v="31"/>
    <x v="5"/>
    <x v="3"/>
    <x v="10"/>
    <x v="6"/>
    <x v="1"/>
    <x v="46"/>
    <x v="0"/>
    <x v="0"/>
    <x v="1416"/>
  </r>
  <r>
    <x v="1471"/>
    <x v="1"/>
    <x v="6"/>
    <x v="1"/>
    <x v="11"/>
    <x v="6"/>
    <x v="0"/>
    <x v="1192"/>
    <x v="0"/>
    <x v="0"/>
    <x v="1417"/>
  </r>
  <r>
    <x v="1472"/>
    <x v="37"/>
    <x v="5"/>
    <x v="4"/>
    <x v="4"/>
    <x v="13"/>
    <x v="0"/>
    <x v="853"/>
    <x v="0"/>
    <x v="0"/>
    <x v="1418"/>
  </r>
  <r>
    <x v="1473"/>
    <x v="16"/>
    <x v="13"/>
    <x v="5"/>
    <x v="15"/>
    <x v="21"/>
    <x v="0"/>
    <x v="795"/>
    <x v="0"/>
    <x v="0"/>
    <x v="1419"/>
  </r>
  <r>
    <x v="1474"/>
    <x v="15"/>
    <x v="9"/>
    <x v="3"/>
    <x v="10"/>
    <x v="9"/>
    <x v="1"/>
    <x v="1193"/>
    <x v="0"/>
    <x v="0"/>
    <x v="1420"/>
  </r>
  <r>
    <x v="1475"/>
    <x v="0"/>
    <x v="1"/>
    <x v="5"/>
    <x v="15"/>
    <x v="14"/>
    <x v="1"/>
    <x v="1111"/>
    <x v="176"/>
    <x v="1"/>
    <x v="1421"/>
  </r>
  <r>
    <x v="1476"/>
    <x v="37"/>
    <x v="1"/>
    <x v="5"/>
    <x v="15"/>
    <x v="7"/>
    <x v="1"/>
    <x v="1194"/>
    <x v="0"/>
    <x v="0"/>
    <x v="1422"/>
  </r>
  <r>
    <x v="1477"/>
    <x v="25"/>
    <x v="16"/>
    <x v="5"/>
    <x v="7"/>
    <x v="8"/>
    <x v="1"/>
    <x v="1195"/>
    <x v="0"/>
    <x v="0"/>
    <x v="1423"/>
  </r>
  <r>
    <x v="1478"/>
    <x v="31"/>
    <x v="6"/>
    <x v="2"/>
    <x v="13"/>
    <x v="12"/>
    <x v="0"/>
    <x v="1196"/>
    <x v="28"/>
    <x v="1"/>
    <x v="1129"/>
  </r>
  <r>
    <x v="1479"/>
    <x v="23"/>
    <x v="19"/>
    <x v="4"/>
    <x v="5"/>
    <x v="12"/>
    <x v="0"/>
    <x v="1197"/>
    <x v="0"/>
    <x v="0"/>
    <x v="1424"/>
  </r>
  <r>
    <x v="1480"/>
    <x v="9"/>
    <x v="6"/>
    <x v="2"/>
    <x v="2"/>
    <x v="13"/>
    <x v="0"/>
    <x v="666"/>
    <x v="0"/>
    <x v="0"/>
    <x v="1425"/>
  </r>
  <r>
    <x v="1481"/>
    <x v="24"/>
    <x v="17"/>
    <x v="2"/>
    <x v="13"/>
    <x v="6"/>
    <x v="0"/>
    <x v="1198"/>
    <x v="0"/>
    <x v="0"/>
    <x v="1426"/>
  </r>
  <r>
    <x v="1482"/>
    <x v="3"/>
    <x v="19"/>
    <x v="3"/>
    <x v="3"/>
    <x v="7"/>
    <x v="0"/>
    <x v="1199"/>
    <x v="0"/>
    <x v="0"/>
    <x v="1427"/>
  </r>
  <r>
    <x v="1483"/>
    <x v="28"/>
    <x v="20"/>
    <x v="1"/>
    <x v="12"/>
    <x v="2"/>
    <x v="0"/>
    <x v="1200"/>
    <x v="0"/>
    <x v="0"/>
    <x v="1428"/>
  </r>
  <r>
    <x v="1484"/>
    <x v="32"/>
    <x v="23"/>
    <x v="3"/>
    <x v="10"/>
    <x v="14"/>
    <x v="1"/>
    <x v="1201"/>
    <x v="0"/>
    <x v="0"/>
    <x v="1429"/>
  </r>
  <r>
    <x v="1485"/>
    <x v="14"/>
    <x v="2"/>
    <x v="4"/>
    <x v="5"/>
    <x v="23"/>
    <x v="0"/>
    <x v="1117"/>
    <x v="0"/>
    <x v="0"/>
    <x v="1430"/>
  </r>
  <r>
    <x v="1486"/>
    <x v="0"/>
    <x v="12"/>
    <x v="2"/>
    <x v="6"/>
    <x v="2"/>
    <x v="1"/>
    <x v="1202"/>
    <x v="0"/>
    <x v="0"/>
    <x v="1431"/>
  </r>
  <r>
    <x v="1487"/>
    <x v="25"/>
    <x v="1"/>
    <x v="2"/>
    <x v="2"/>
    <x v="2"/>
    <x v="1"/>
    <x v="823"/>
    <x v="0"/>
    <x v="0"/>
    <x v="1432"/>
  </r>
  <r>
    <x v="1488"/>
    <x v="34"/>
    <x v="0"/>
    <x v="4"/>
    <x v="5"/>
    <x v="34"/>
    <x v="0"/>
    <x v="1203"/>
    <x v="0"/>
    <x v="0"/>
    <x v="1433"/>
  </r>
  <r>
    <x v="1489"/>
    <x v="38"/>
    <x v="4"/>
    <x v="2"/>
    <x v="6"/>
    <x v="10"/>
    <x v="1"/>
    <x v="982"/>
    <x v="0"/>
    <x v="0"/>
    <x v="1434"/>
  </r>
  <r>
    <x v="1490"/>
    <x v="8"/>
    <x v="8"/>
    <x v="5"/>
    <x v="7"/>
    <x v="1"/>
    <x v="0"/>
    <x v="1204"/>
    <x v="0"/>
    <x v="0"/>
    <x v="1435"/>
  </r>
  <r>
    <x v="1491"/>
    <x v="25"/>
    <x v="4"/>
    <x v="3"/>
    <x v="3"/>
    <x v="17"/>
    <x v="0"/>
    <x v="1205"/>
    <x v="0"/>
    <x v="0"/>
    <x v="1436"/>
  </r>
  <r>
    <x v="1492"/>
    <x v="29"/>
    <x v="13"/>
    <x v="3"/>
    <x v="10"/>
    <x v="10"/>
    <x v="1"/>
    <x v="244"/>
    <x v="0"/>
    <x v="0"/>
    <x v="1437"/>
  </r>
  <r>
    <x v="1493"/>
    <x v="9"/>
    <x v="6"/>
    <x v="4"/>
    <x v="5"/>
    <x v="14"/>
    <x v="1"/>
    <x v="356"/>
    <x v="0"/>
    <x v="0"/>
    <x v="1438"/>
  </r>
  <r>
    <x v="1494"/>
    <x v="34"/>
    <x v="4"/>
    <x v="4"/>
    <x v="5"/>
    <x v="29"/>
    <x v="0"/>
    <x v="1206"/>
    <x v="0"/>
    <x v="0"/>
    <x v="1"/>
  </r>
  <r>
    <x v="1495"/>
    <x v="1"/>
    <x v="20"/>
    <x v="1"/>
    <x v="11"/>
    <x v="4"/>
    <x v="0"/>
    <x v="1071"/>
    <x v="0"/>
    <x v="0"/>
    <x v="1439"/>
  </r>
  <r>
    <x v="1496"/>
    <x v="12"/>
    <x v="16"/>
    <x v="2"/>
    <x v="6"/>
    <x v="23"/>
    <x v="0"/>
    <x v="1207"/>
    <x v="0"/>
    <x v="0"/>
    <x v="1440"/>
  </r>
  <r>
    <x v="1497"/>
    <x v="8"/>
    <x v="17"/>
    <x v="1"/>
    <x v="12"/>
    <x v="7"/>
    <x v="1"/>
    <x v="338"/>
    <x v="0"/>
    <x v="0"/>
    <x v="1441"/>
  </r>
  <r>
    <x v="1498"/>
    <x v="35"/>
    <x v="23"/>
    <x v="1"/>
    <x v="12"/>
    <x v="3"/>
    <x v="1"/>
    <x v="1208"/>
    <x v="177"/>
    <x v="1"/>
    <x v="1442"/>
  </r>
  <r>
    <x v="1499"/>
    <x v="31"/>
    <x v="2"/>
    <x v="0"/>
    <x v="0"/>
    <x v="9"/>
    <x v="1"/>
    <x v="1209"/>
    <x v="0"/>
    <x v="0"/>
    <x v="1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513:D1521" firstHeaderRow="1" firstDataRow="2" firstDataCol="1"/>
  <pivotFields count="11">
    <pivotField compact="0" showAll="0">
      <items count="1501">
        <item x="540"/>
        <item x="621"/>
        <item x="404"/>
        <item x="983"/>
        <item x="808"/>
        <item x="1129"/>
        <item x="574"/>
        <item x="306"/>
        <item x="1235"/>
        <item x="1336"/>
        <item x="791"/>
        <item x="693"/>
        <item x="866"/>
        <item x="828"/>
        <item x="9"/>
        <item x="384"/>
        <item x="617"/>
        <item x="184"/>
        <item x="249"/>
        <item x="1428"/>
        <item x="286"/>
        <item x="275"/>
        <item x="766"/>
        <item x="514"/>
        <item x="1091"/>
        <item x="1056"/>
        <item x="904"/>
        <item x="1186"/>
        <item x="474"/>
        <item x="953"/>
        <item x="790"/>
        <item x="1463"/>
        <item x="964"/>
        <item x="197"/>
        <item x="1434"/>
        <item x="1055"/>
        <item x="887"/>
        <item x="416"/>
        <item x="1049"/>
        <item x="1273"/>
        <item x="923"/>
        <item x="994"/>
        <item x="889"/>
        <item x="1409"/>
        <item x="1309"/>
        <item x="13"/>
        <item x="153"/>
        <item x="317"/>
        <item x="1002"/>
        <item x="1374"/>
        <item x="952"/>
        <item x="1473"/>
        <item x="999"/>
        <item x="1050"/>
        <item x="1135"/>
        <item x="916"/>
        <item x="713"/>
        <item x="1259"/>
        <item x="85"/>
        <item x="1143"/>
        <item x="462"/>
        <item x="325"/>
        <item x="636"/>
        <item x="1279"/>
        <item x="1296"/>
        <item x="132"/>
        <item x="426"/>
        <item x="376"/>
        <item x="84"/>
        <item x="68"/>
        <item x="281"/>
        <item x="78"/>
        <item x="860"/>
        <item x="1120"/>
        <item x="685"/>
        <item x="394"/>
        <item x="1004"/>
        <item x="538"/>
        <item x="945"/>
        <item x="1290"/>
        <item x="415"/>
        <item x="1424"/>
        <item x="380"/>
        <item x="403"/>
        <item x="295"/>
        <item x="782"/>
        <item x="594"/>
        <item x="1295"/>
        <item x="1353"/>
        <item x="638"/>
        <item x="517"/>
        <item x="513"/>
        <item x="1266"/>
        <item x="218"/>
        <item x="1097"/>
        <item x="1222"/>
        <item x="1439"/>
        <item x="1356"/>
        <item x="1223"/>
        <item x="399"/>
        <item x="1108"/>
        <item x="113"/>
        <item x="313"/>
        <item x="1069"/>
        <item x="499"/>
        <item x="1282"/>
        <item x="1197"/>
        <item x="778"/>
        <item x="602"/>
        <item x="233"/>
        <item x="1072"/>
        <item x="847"/>
        <item x="231"/>
        <item x="1001"/>
        <item x="179"/>
        <item x="1321"/>
        <item x="498"/>
        <item x="837"/>
        <item x="1125"/>
        <item x="352"/>
        <item x="672"/>
        <item x="1464"/>
        <item x="1346"/>
        <item x="1007"/>
        <item x="1481"/>
        <item x="801"/>
        <item x="488"/>
        <item x="348"/>
        <item x="293"/>
        <item x="475"/>
        <item x="854"/>
        <item x="1043"/>
        <item x="1458"/>
        <item x="1083"/>
        <item x="620"/>
        <item x="908"/>
        <item x="1052"/>
        <item x="49"/>
        <item x="1045"/>
        <item x="1036"/>
        <item x="1312"/>
        <item x="369"/>
        <item x="58"/>
        <item x="122"/>
        <item x="1245"/>
        <item x="36"/>
        <item x="364"/>
        <item x="1189"/>
        <item x="581"/>
        <item x="1335"/>
        <item x="1095"/>
        <item x="979"/>
        <item x="746"/>
        <item x="1303"/>
        <item x="764"/>
        <item x="603"/>
        <item x="641"/>
        <item x="105"/>
        <item x="385"/>
        <item x="1074"/>
        <item x="708"/>
        <item x="226"/>
        <item x="1219"/>
        <item x="846"/>
        <item x="595"/>
        <item x="1039"/>
        <item x="1145"/>
        <item x="1085"/>
        <item x="1119"/>
        <item x="351"/>
        <item x="1205"/>
        <item x="320"/>
        <item x="434"/>
        <item x="81"/>
        <item x="816"/>
        <item x="732"/>
        <item x="933"/>
        <item x="824"/>
        <item x="932"/>
        <item x="702"/>
        <item x="658"/>
        <item x="21"/>
        <item x="422"/>
        <item x="251"/>
        <item x="1169"/>
        <item x="319"/>
        <item x="1212"/>
        <item x="1395"/>
        <item x="236"/>
        <item x="1243"/>
        <item x="1272"/>
        <item x="1163"/>
        <item x="678"/>
        <item x="599"/>
        <item x="331"/>
        <item x="1320"/>
        <item x="1178"/>
        <item x="99"/>
        <item x="810"/>
        <item x="135"/>
        <item x="360"/>
        <item x="463"/>
        <item x="820"/>
        <item x="961"/>
        <item x="161"/>
        <item x="711"/>
        <item x="1005"/>
        <item x="1228"/>
        <item x="869"/>
        <item x="698"/>
        <item x="910"/>
        <item x="1360"/>
        <item x="265"/>
        <item x="533"/>
        <item x="1042"/>
        <item x="411"/>
        <item x="921"/>
        <item x="1099"/>
        <item x="1414"/>
        <item x="675"/>
        <item x="1311"/>
        <item x="1020"/>
        <item x="996"/>
        <item x="531"/>
        <item x="1375"/>
        <item x="1012"/>
        <item x="142"/>
        <item x="775"/>
        <item x="949"/>
        <item x="1233"/>
        <item x="63"/>
        <item x="719"/>
        <item x="444"/>
        <item x="1280"/>
        <item x="1158"/>
        <item x="270"/>
        <item x="726"/>
        <item x="725"/>
        <item x="1192"/>
        <item x="138"/>
        <item x="476"/>
        <item x="200"/>
        <item x="1118"/>
        <item x="1265"/>
        <item x="1068"/>
        <item x="1232"/>
        <item x="26"/>
        <item x="1149"/>
        <item x="98"/>
        <item x="362"/>
        <item x="666"/>
        <item x="632"/>
        <item x="688"/>
        <item x="1285"/>
        <item x="1130"/>
        <item x="1470"/>
        <item x="264"/>
        <item x="802"/>
        <item x="774"/>
        <item x="266"/>
        <item x="1244"/>
        <item x="1316"/>
        <item x="671"/>
        <item x="27"/>
        <item x="759"/>
        <item x="464"/>
        <item x="1137"/>
        <item x="676"/>
        <item x="207"/>
        <item x="1215"/>
        <item x="457"/>
        <item x="591"/>
        <item x="216"/>
        <item x="86"/>
        <item x="1299"/>
        <item x="825"/>
        <item x="1070"/>
        <item x="554"/>
        <item x="104"/>
        <item x="469"/>
        <item x="178"/>
        <item x="578"/>
        <item x="1262"/>
        <item x="131"/>
        <item x="438"/>
        <item x="330"/>
        <item x="40"/>
        <item x="175"/>
        <item x="712"/>
        <item x="1003"/>
        <item x="679"/>
        <item x="760"/>
        <item x="1106"/>
        <item x="508"/>
        <item x="902"/>
        <item x="667"/>
        <item x="1373"/>
        <item x="551"/>
        <item x="1342"/>
        <item x="1496"/>
        <item x="939"/>
        <item x="470"/>
        <item x="1060"/>
        <item x="870"/>
        <item x="886"/>
        <item x="278"/>
        <item x="1207"/>
        <item x="254"/>
        <item x="258"/>
        <item x="575"/>
        <item x="723"/>
        <item x="223"/>
        <item x="705"/>
        <item x="805"/>
        <item x="1044"/>
        <item x="363"/>
        <item x="776"/>
        <item x="741"/>
        <item x="43"/>
        <item x="624"/>
        <item x="1188"/>
        <item x="629"/>
        <item x="556"/>
        <item x="240"/>
        <item x="1425"/>
        <item x="1017"/>
        <item x="600"/>
        <item x="584"/>
        <item x="400"/>
        <item x="1082"/>
        <item x="437"/>
        <item x="1148"/>
        <item x="248"/>
        <item x="118"/>
        <item x="974"/>
        <item x="375"/>
        <item x="210"/>
        <item x="1268"/>
        <item x="857"/>
        <item x="1081"/>
        <item x="881"/>
        <item x="91"/>
        <item x="794"/>
        <item x="601"/>
        <item x="848"/>
        <item x="664"/>
        <item x="883"/>
        <item x="490"/>
        <item x="1358"/>
        <item x="203"/>
        <item x="1198"/>
        <item x="507"/>
        <item x="311"/>
        <item x="912"/>
        <item x="238"/>
        <item x="373"/>
        <item x="201"/>
        <item x="1313"/>
        <item x="1328"/>
        <item x="1472"/>
        <item x="1493"/>
        <item x="332"/>
        <item x="1264"/>
        <item x="71"/>
        <item x="1372"/>
        <item x="271"/>
        <item x="1443"/>
        <item x="25"/>
        <item x="677"/>
        <item x="241"/>
        <item x="39"/>
        <item x="963"/>
        <item x="978"/>
        <item x="1150"/>
        <item x="423"/>
        <item x="606"/>
        <item x="710"/>
        <item x="1006"/>
        <item x="865"/>
        <item x="502"/>
        <item x="1185"/>
        <item x="1100"/>
        <item x="975"/>
        <item x="1132"/>
        <item x="715"/>
        <item x="253"/>
        <item x="1011"/>
        <item x="3"/>
        <item x="541"/>
        <item x="1200"/>
        <item x="1310"/>
        <item x="496"/>
        <item x="1449"/>
        <item x="1071"/>
        <item x="891"/>
        <item x="1187"/>
        <item x="925"/>
        <item x="582"/>
        <item x="297"/>
        <item x="467"/>
        <item x="143"/>
        <item x="662"/>
        <item x="147"/>
        <item x="34"/>
        <item x="1482"/>
        <item x="101"/>
        <item x="1396"/>
        <item x="430"/>
        <item x="1032"/>
        <item x="812"/>
        <item x="1305"/>
        <item x="160"/>
        <item x="827"/>
        <item x="1220"/>
        <item x="645"/>
        <item x="1208"/>
        <item x="1047"/>
        <item x="367"/>
        <item x="250"/>
        <item x="386"/>
        <item x="1334"/>
        <item x="268"/>
        <item x="1286"/>
        <item x="898"/>
        <item x="1408"/>
        <item x="721"/>
        <item x="727"/>
        <item x="781"/>
        <item x="1211"/>
        <item x="987"/>
        <item x="1160"/>
        <item x="324"/>
        <item x="689"/>
        <item x="1490"/>
        <item x="1452"/>
        <item x="1165"/>
        <item x="358"/>
        <item x="622"/>
        <item x="793"/>
        <item x="543"/>
        <item x="706"/>
        <item x="642"/>
        <item x="1387"/>
        <item x="1094"/>
        <item x="962"/>
        <item x="991"/>
        <item x="1441"/>
        <item x="867"/>
        <item x="413"/>
        <item x="1058"/>
        <item x="1462"/>
        <item x="484"/>
        <item x="244"/>
        <item x="450"/>
        <item x="1429"/>
        <item x="189"/>
        <item x="736"/>
        <item x="4"/>
        <item x="797"/>
        <item x="896"/>
        <item x="130"/>
        <item x="1401"/>
        <item x="124"/>
        <item x="917"/>
        <item x="262"/>
        <item x="397"/>
        <item x="1495"/>
        <item x="1136"/>
        <item x="371"/>
        <item x="819"/>
        <item x="44"/>
        <item x="615"/>
        <item x="300"/>
        <item x="654"/>
        <item x="1442"/>
        <item x="832"/>
        <item x="151"/>
        <item x="87"/>
        <item x="1368"/>
        <item x="302"/>
        <item x="609"/>
        <item x="41"/>
        <item x="851"/>
        <item x="829"/>
        <item x="374"/>
        <item x="1420"/>
        <item x="585"/>
        <item x="298"/>
        <item x="465"/>
        <item x="1112"/>
        <item x="557"/>
        <item x="1369"/>
        <item x="327"/>
        <item x="1497"/>
        <item x="424"/>
        <item x="1180"/>
        <item x="421"/>
        <item x="1293"/>
        <item x="357"/>
        <item x="1152"/>
        <item x="716"/>
        <item x="1000"/>
        <item x="486"/>
        <item x="20"/>
        <item x="454"/>
        <item x="62"/>
        <item x="1451"/>
        <item x="935"/>
        <item x="180"/>
        <item x="1359"/>
        <item x="909"/>
        <item x="648"/>
        <item x="482"/>
        <item x="704"/>
        <item x="861"/>
        <item x="863"/>
        <item x="1134"/>
        <item x="1308"/>
        <item x="946"/>
        <item x="232"/>
        <item x="1126"/>
        <item x="650"/>
        <item x="588"/>
        <item x="419"/>
        <item x="789"/>
        <item x="451"/>
        <item x="277"/>
        <item x="1498"/>
        <item x="1412"/>
        <item x="28"/>
        <item x="604"/>
        <item x="1255"/>
        <item x="116"/>
        <item x="1175"/>
        <item x="1340"/>
        <item x="149"/>
        <item x="838"/>
        <item x="1141"/>
        <item x="834"/>
        <item x="1390"/>
        <item x="519"/>
        <item x="235"/>
        <item x="390"/>
        <item x="553"/>
        <item x="335"/>
        <item x="552"/>
        <item x="684"/>
        <item x="256"/>
        <item x="1341"/>
        <item x="418"/>
        <item x="395"/>
        <item x="354"/>
        <item x="647"/>
        <item x="10"/>
        <item x="1203"/>
        <item x="598"/>
        <item x="30"/>
        <item x="414"/>
        <item x="747"/>
        <item x="1121"/>
        <item x="215"/>
        <item x="956"/>
        <item x="1381"/>
        <item x="943"/>
        <item x="391"/>
        <item x="875"/>
        <item x="1157"/>
        <item x="630"/>
        <item x="477"/>
        <item x="1172"/>
        <item x="936"/>
        <item x="137"/>
        <item x="69"/>
        <item x="60"/>
        <item x="757"/>
        <item x="307"/>
        <item x="871"/>
        <item x="586"/>
        <item x="1059"/>
        <item x="199"/>
        <item x="310"/>
        <item x="730"/>
        <item x="529"/>
        <item x="1139"/>
        <item x="398"/>
        <item x="903"/>
        <item x="509"/>
        <item x="1488"/>
        <item x="1073"/>
        <item x="724"/>
        <item x="525"/>
        <item x="1181"/>
        <item x="786"/>
        <item x="50"/>
        <item x="1254"/>
        <item x="822"/>
        <item x="691"/>
        <item x="55"/>
        <item x="593"/>
        <item x="762"/>
        <item x="420"/>
        <item x="494"/>
        <item x="842"/>
        <item x="452"/>
        <item x="1385"/>
        <item x="1298"/>
        <item x="448"/>
        <item x="1489"/>
        <item x="89"/>
        <item x="1419"/>
        <item x="787"/>
        <item x="583"/>
        <item x="590"/>
        <item x="1304"/>
        <item x="35"/>
        <item x="835"/>
        <item x="1155"/>
        <item x="1025"/>
        <item x="252"/>
        <item x="597"/>
        <item x="872"/>
        <item x="707"/>
        <item x="1382"/>
        <item x="1191"/>
        <item x="53"/>
        <item x="530"/>
        <item x="1159"/>
        <item x="102"/>
        <item x="811"/>
        <item x="1033"/>
        <item x="1217"/>
        <item x="823"/>
        <item x="1014"/>
        <item x="954"/>
        <item x="1275"/>
        <item x="1411"/>
        <item x="1154"/>
        <item x="1084"/>
        <item x="1171"/>
        <item x="942"/>
        <item x="539"/>
        <item x="841"/>
        <item x="986"/>
        <item x="74"/>
        <item x="880"/>
        <item x="401"/>
        <item x="1035"/>
        <item x="1379"/>
        <item x="1453"/>
        <item x="480"/>
        <item x="1199"/>
        <item x="155"/>
        <item x="54"/>
        <item x="6"/>
        <item x="695"/>
        <item x="1403"/>
        <item x="955"/>
        <item x="1057"/>
        <item x="349"/>
        <item x="82"/>
        <item x="1079"/>
        <item x="1410"/>
        <item x="284"/>
        <item x="144"/>
        <item x="290"/>
        <item x="440"/>
        <item x="261"/>
        <item x="460"/>
        <item x="970"/>
        <item x="799"/>
        <item x="1402"/>
        <item x="744"/>
        <item x="279"/>
        <item x="1028"/>
        <item x="1491"/>
        <item x="255"/>
        <item x="1281"/>
        <item x="466"/>
        <item x="204"/>
        <item x="1479"/>
        <item x="905"/>
        <item x="17"/>
        <item x="611"/>
        <item x="1023"/>
        <item x="714"/>
        <item x="1026"/>
        <item x="1230"/>
        <item x="1170"/>
        <item x="195"/>
        <item x="1394"/>
        <item x="471"/>
        <item x="503"/>
        <item x="610"/>
        <item x="877"/>
        <item x="573"/>
        <item x="640"/>
        <item x="285"/>
        <item x="504"/>
        <item x="1247"/>
        <item x="355"/>
        <item x="1113"/>
        <item x="33"/>
        <item x="985"/>
        <item x="1361"/>
        <item x="478"/>
        <item x="347"/>
        <item x="1051"/>
        <item x="897"/>
        <item x="518"/>
        <item x="1350"/>
        <item x="795"/>
        <item x="321"/>
        <item x="1107"/>
        <item x="1127"/>
        <item x="1406"/>
        <item x="653"/>
        <item x="814"/>
        <item x="442"/>
        <item x="1324"/>
        <item x="350"/>
        <item x="366"/>
        <item x="37"/>
        <item x="1314"/>
        <item x="1277"/>
        <item x="515"/>
        <item x="1487"/>
        <item x="948"/>
        <item x="177"/>
        <item x="117"/>
        <item x="221"/>
        <item x="1483"/>
        <item x="287"/>
        <item x="42"/>
        <item x="895"/>
        <item x="492"/>
        <item x="534"/>
        <item x="656"/>
        <item x="45"/>
        <item x="243"/>
        <item x="618"/>
        <item x="934"/>
        <item x="166"/>
        <item x="1177"/>
        <item x="485"/>
        <item x="608"/>
        <item x="665"/>
        <item x="1362"/>
        <item x="1076"/>
        <item x="108"/>
        <item x="1029"/>
        <item x="1115"/>
        <item x="1399"/>
        <item x="754"/>
        <item x="1283"/>
        <item x="1333"/>
        <item x="405"/>
        <item x="140"/>
        <item x="260"/>
        <item x="1432"/>
        <item x="1448"/>
        <item x="1445"/>
        <item x="699"/>
        <item x="1392"/>
        <item x="495"/>
        <item x="1276"/>
        <item x="340"/>
        <item x="1140"/>
        <item x="1391"/>
        <item x="165"/>
        <item x="1352"/>
        <item x="51"/>
        <item x="158"/>
        <item x="1476"/>
        <item x="312"/>
        <item x="742"/>
        <item x="1015"/>
        <item x="559"/>
        <item x="1066"/>
        <item x="981"/>
        <item x="150"/>
        <item x="1102"/>
        <item x="72"/>
        <item x="121"/>
        <item x="1110"/>
        <item x="435"/>
        <item x="1404"/>
        <item x="196"/>
        <item x="663"/>
        <item x="387"/>
        <item x="125"/>
        <item x="737"/>
        <item x="1241"/>
        <item x="734"/>
        <item x="1054"/>
        <item x="220"/>
        <item x="547"/>
        <item x="61"/>
        <item x="1190"/>
        <item x="246"/>
        <item x="755"/>
        <item x="1438"/>
        <item x="29"/>
        <item x="214"/>
        <item x="501"/>
        <item x="1384"/>
        <item x="1480"/>
        <item x="1092"/>
        <item x="224"/>
        <item x="1435"/>
        <item x="38"/>
        <item x="115"/>
        <item x="888"/>
        <item x="1041"/>
        <item x="96"/>
        <item x="209"/>
        <item x="1147"/>
        <item x="95"/>
        <item x="1226"/>
        <item x="950"/>
        <item x="73"/>
        <item x="1415"/>
        <item x="537"/>
        <item x="1227"/>
        <item x="458"/>
        <item x="546"/>
        <item x="308"/>
        <item x="670"/>
        <item x="92"/>
        <item x="1246"/>
        <item x="718"/>
        <item x="1306"/>
        <item x="1485"/>
        <item x="1019"/>
        <item x="995"/>
        <item x="804"/>
        <item x="767"/>
        <item x="1166"/>
        <item x="784"/>
        <item x="1431"/>
        <item x="12"/>
        <item x="997"/>
        <item x="1370"/>
        <item x="119"/>
        <item x="322"/>
        <item x="592"/>
        <item x="520"/>
        <item x="276"/>
        <item x="205"/>
        <item x="455"/>
        <item x="292"/>
        <item x="1378"/>
        <item x="428"/>
        <item x="915"/>
        <item x="185"/>
        <item x="992"/>
        <item x="1418"/>
        <item x="920"/>
        <item x="521"/>
        <item x="1288"/>
        <item x="32"/>
        <item x="1088"/>
        <item x="479"/>
        <item x="690"/>
        <item x="304"/>
        <item x="1105"/>
        <item x="1240"/>
        <item x="633"/>
        <item x="1216"/>
        <item x="1393"/>
        <item x="1027"/>
        <item x="631"/>
        <item x="222"/>
        <item x="1231"/>
        <item x="191"/>
        <item x="459"/>
        <item x="1474"/>
        <item x="1225"/>
        <item x="183"/>
        <item x="892"/>
        <item x="901"/>
        <item x="826"/>
        <item x="535"/>
        <item x="382"/>
        <item x="571"/>
        <item x="924"/>
        <item x="833"/>
        <item x="626"/>
        <item x="506"/>
        <item x="481"/>
        <item x="1016"/>
        <item x="1253"/>
        <item x="213"/>
        <item x="1471"/>
        <item x="969"/>
        <item x="1256"/>
        <item x="1195"/>
        <item x="1236"/>
        <item x="431"/>
        <item x="1318"/>
        <item x="1018"/>
        <item x="1103"/>
        <item x="173"/>
        <item x="1284"/>
        <item x="65"/>
        <item x="1437"/>
        <item x="228"/>
        <item x="1234"/>
        <item x="110"/>
        <item x="1214"/>
        <item x="717"/>
        <item x="1194"/>
        <item x="879"/>
        <item x="1307"/>
        <item x="1038"/>
        <item x="212"/>
        <item x="873"/>
        <item x="372"/>
        <item x="900"/>
        <item x="1446"/>
        <item x="1248"/>
        <item x="937"/>
        <item x="80"/>
        <item x="890"/>
        <item x="334"/>
        <item x="1289"/>
        <item x="328"/>
        <item x="453"/>
        <item x="1087"/>
        <item x="523"/>
        <item x="566"/>
        <item x="765"/>
        <item x="858"/>
        <item x="792"/>
        <item x="1173"/>
        <item x="1263"/>
        <item x="1332"/>
        <item x="1182"/>
        <item x="1250"/>
        <item x="1475"/>
        <item x="1364"/>
        <item x="24"/>
        <item x="862"/>
        <item x="1454"/>
        <item x="821"/>
        <item x="853"/>
        <item x="735"/>
        <item x="751"/>
        <item x="1270"/>
        <item x="445"/>
        <item x="763"/>
        <item x="1218"/>
        <item x="94"/>
        <item x="561"/>
        <item x="669"/>
        <item x="743"/>
        <item x="341"/>
        <item x="836"/>
        <item x="868"/>
        <item x="973"/>
        <item x="980"/>
        <item x="696"/>
        <item x="47"/>
        <item x="1116"/>
        <item x="625"/>
        <item x="316"/>
        <item x="967"/>
        <item x="941"/>
        <item x="637"/>
        <item x="353"/>
        <item x="587"/>
        <item x="1075"/>
        <item x="697"/>
        <item x="1460"/>
        <item x="1008"/>
        <item x="1229"/>
        <item x="1274"/>
        <item x="1343"/>
        <item x="512"/>
        <item x="524"/>
        <item x="1184"/>
        <item x="227"/>
        <item x="146"/>
        <item x="128"/>
        <item x="558"/>
        <item x="182"/>
        <item x="745"/>
        <item x="680"/>
        <item x="1413"/>
        <item x="433"/>
        <item x="1291"/>
        <item x="493"/>
        <item x="770"/>
        <item x="1128"/>
        <item x="410"/>
        <item x="75"/>
        <item x="383"/>
        <item x="646"/>
        <item x="982"/>
        <item x="958"/>
        <item x="623"/>
        <item x="1331"/>
        <item x="159"/>
        <item x="1030"/>
        <item x="219"/>
        <item x="1201"/>
        <item x="1213"/>
        <item x="301"/>
        <item x="483"/>
        <item x="181"/>
        <item x="1193"/>
        <item x="1161"/>
        <item x="1397"/>
        <item x="1117"/>
        <item x="1269"/>
        <item x="259"/>
        <item x="114"/>
        <item x="1168"/>
        <item x="1422"/>
        <item x="381"/>
        <item x="1330"/>
        <item x="1089"/>
        <item x="568"/>
        <item x="1242"/>
        <item x="911"/>
        <item x="1389"/>
        <item x="120"/>
        <item x="19"/>
        <item x="217"/>
        <item x="783"/>
        <item x="1048"/>
        <item x="1224"/>
        <item x="655"/>
        <item x="1355"/>
        <item x="1138"/>
        <item x="234"/>
        <item x="1251"/>
        <item x="703"/>
        <item x="409"/>
        <item x="336"/>
        <item x="23"/>
        <item x="785"/>
        <item x="1183"/>
        <item x="192"/>
        <item x="906"/>
        <item x="133"/>
        <item x="1363"/>
        <item x="379"/>
        <item x="1101"/>
        <item x="164"/>
        <item x="1109"/>
        <item x="1400"/>
        <item x="927"/>
        <item x="1064"/>
        <item x="807"/>
        <item x="874"/>
        <item x="11"/>
        <item x="809"/>
        <item x="1260"/>
        <item x="968"/>
        <item x="299"/>
        <item x="1329"/>
        <item x="269"/>
        <item x="139"/>
        <item x="850"/>
        <item x="951"/>
        <item x="406"/>
        <item x="947"/>
        <item x="1031"/>
        <item x="682"/>
        <item x="1337"/>
        <item x="1371"/>
        <item x="1486"/>
        <item x="407"/>
        <item x="1323"/>
        <item x="1459"/>
        <item x="1322"/>
        <item x="930"/>
        <item x="303"/>
        <item x="136"/>
        <item x="612"/>
        <item x="1427"/>
        <item x="976"/>
        <item x="127"/>
        <item x="1405"/>
        <item x="532"/>
        <item x="1423"/>
        <item x="634"/>
        <item x="1383"/>
        <item x="1040"/>
        <item x="510"/>
        <item x="323"/>
        <item x="818"/>
        <item x="129"/>
        <item x="1131"/>
        <item x="893"/>
        <item x="576"/>
        <item x="93"/>
        <item x="878"/>
        <item x="187"/>
        <item x="1494"/>
        <item x="90"/>
        <item x="522"/>
        <item x="1133"/>
        <item x="1319"/>
        <item x="230"/>
        <item x="346"/>
        <item x="1292"/>
        <item x="1440"/>
        <item x="88"/>
        <item x="1271"/>
        <item x="1430"/>
        <item x="773"/>
        <item x="1468"/>
        <item x="1037"/>
        <item x="769"/>
        <item x="839"/>
        <item x="840"/>
        <item x="1202"/>
        <item x="1021"/>
        <item x="1338"/>
        <item x="800"/>
        <item x="59"/>
        <item x="526"/>
        <item x="731"/>
        <item x="169"/>
        <item x="432"/>
        <item x="1477"/>
        <item x="536"/>
        <item x="1278"/>
        <item x="239"/>
        <item x="960"/>
        <item x="564"/>
        <item x="339"/>
        <item x="907"/>
        <item x="263"/>
        <item x="771"/>
        <item x="580"/>
        <item x="5"/>
        <item x="977"/>
        <item x="18"/>
        <item x="569"/>
        <item x="365"/>
        <item x="1114"/>
        <item x="487"/>
        <item x="651"/>
        <item x="392"/>
        <item x="343"/>
        <item x="1013"/>
        <item x="1080"/>
        <item x="1421"/>
        <item x="338"/>
        <item x="1258"/>
        <item x="1063"/>
        <item x="780"/>
        <item x="163"/>
        <item x="560"/>
        <item x="356"/>
        <item x="1315"/>
        <item x="176"/>
        <item x="1348"/>
        <item x="1156"/>
        <item x="193"/>
        <item x="1436"/>
        <item x="1144"/>
        <item x="739"/>
        <item x="1077"/>
        <item x="1153"/>
        <item x="370"/>
        <item x="56"/>
        <item x="1174"/>
        <item x="206"/>
        <item x="700"/>
        <item x="1398"/>
        <item x="1164"/>
        <item x="844"/>
        <item x="849"/>
        <item x="489"/>
        <item x="326"/>
        <item x="1065"/>
        <item x="186"/>
        <item x="988"/>
        <item x="694"/>
        <item x="441"/>
        <item x="567"/>
        <item x="803"/>
        <item x="1046"/>
        <item x="913"/>
        <item x="549"/>
        <item x="188"/>
        <item x="1151"/>
        <item x="429"/>
        <item x="1111"/>
        <item x="1499"/>
        <item x="16"/>
        <item x="1009"/>
        <item x="843"/>
        <item x="296"/>
        <item x="425"/>
        <item x="294"/>
        <item x="971"/>
        <item x="966"/>
        <item x="605"/>
        <item x="288"/>
        <item x="722"/>
        <item x="1067"/>
        <item x="468"/>
        <item x="965"/>
        <item x="864"/>
        <item x="1326"/>
        <item x="152"/>
        <item x="107"/>
        <item x="123"/>
        <item x="461"/>
        <item x="211"/>
        <item x="388"/>
        <item x="7"/>
        <item x="686"/>
        <item x="14"/>
        <item x="589"/>
        <item x="1478"/>
        <item x="579"/>
        <item x="449"/>
        <item x="439"/>
        <item x="972"/>
        <item x="500"/>
        <item x="1380"/>
        <item x="167"/>
        <item x="97"/>
        <item x="1034"/>
        <item x="267"/>
        <item x="545"/>
        <item x="1455"/>
        <item x="1287"/>
        <item x="748"/>
        <item x="1267"/>
        <item x="1465"/>
        <item x="928"/>
        <item x="46"/>
        <item x="1206"/>
        <item x="548"/>
        <item x="1167"/>
        <item x="344"/>
        <item x="52"/>
        <item x="1376"/>
        <item x="914"/>
        <item x="314"/>
        <item x="813"/>
        <item x="984"/>
        <item x="944"/>
        <item x="412"/>
        <item x="1146"/>
        <item x="796"/>
        <item x="572"/>
        <item x="247"/>
        <item x="66"/>
        <item x="1124"/>
        <item x="511"/>
        <item x="245"/>
        <item x="70"/>
        <item x="643"/>
        <item x="720"/>
        <item x="1261"/>
        <item x="1461"/>
        <item x="171"/>
        <item x="436"/>
        <item x="859"/>
        <item x="103"/>
        <item x="817"/>
        <item x="315"/>
        <item x="1386"/>
        <item x="77"/>
        <item x="752"/>
        <item x="674"/>
        <item x="614"/>
        <item x="959"/>
        <item x="627"/>
        <item x="289"/>
        <item x="162"/>
        <item x="855"/>
        <item x="318"/>
        <item x="657"/>
        <item x="1210"/>
        <item x="337"/>
        <item x="733"/>
        <item x="15"/>
        <item x="856"/>
        <item x="652"/>
        <item x="1492"/>
        <item x="527"/>
        <item x="990"/>
        <item x="761"/>
        <item x="273"/>
        <item x="274"/>
        <item x="280"/>
        <item x="1297"/>
        <item x="1450"/>
        <item x="497"/>
        <item x="64"/>
        <item x="806"/>
        <item x="145"/>
        <item x="596"/>
        <item x="229"/>
        <item x="1317"/>
        <item x="1096"/>
        <item x="1122"/>
        <item x="758"/>
        <item x="402"/>
        <item x="168"/>
        <item x="333"/>
        <item x="885"/>
        <item x="528"/>
        <item x="1484"/>
        <item x="22"/>
        <item x="76"/>
        <item x="1344"/>
        <item x="291"/>
        <item x="194"/>
        <item x="852"/>
        <item x="938"/>
        <item x="570"/>
        <item x="1196"/>
        <item x="668"/>
        <item x="701"/>
        <item x="1010"/>
        <item x="644"/>
        <item x="1022"/>
        <item x="1467"/>
        <item x="202"/>
        <item x="922"/>
        <item x="1221"/>
        <item x="393"/>
        <item x="957"/>
        <item x="894"/>
        <item x="272"/>
        <item x="174"/>
        <item x="542"/>
        <item x="577"/>
        <item x="1345"/>
        <item x="345"/>
        <item x="1098"/>
        <item x="1433"/>
        <item x="729"/>
        <item x="342"/>
        <item x="1456"/>
        <item x="473"/>
        <item x="1327"/>
        <item x="635"/>
        <item x="1469"/>
        <item x="756"/>
        <item x="1416"/>
        <item x="1407"/>
        <item x="208"/>
        <item x="282"/>
        <item x="815"/>
        <item x="257"/>
        <item x="555"/>
        <item x="361"/>
        <item x="728"/>
        <item x="607"/>
        <item x="377"/>
        <item x="619"/>
        <item x="1252"/>
        <item x="661"/>
        <item x="1024"/>
        <item x="753"/>
        <item x="876"/>
        <item x="749"/>
        <item x="659"/>
        <item x="1053"/>
        <item x="408"/>
        <item x="1351"/>
        <item x="427"/>
        <item x="141"/>
        <item x="565"/>
        <item x="681"/>
        <item x="1466"/>
        <item x="100"/>
        <item x="172"/>
        <item x="779"/>
        <item x="563"/>
        <item x="929"/>
        <item x="1086"/>
        <item x="443"/>
        <item x="1347"/>
        <item x="683"/>
        <item x="649"/>
        <item x="1238"/>
        <item x="998"/>
        <item x="1367"/>
        <item x="1078"/>
        <item x="1349"/>
        <item x="389"/>
        <item x="931"/>
        <item x="616"/>
        <item x="1249"/>
        <item x="1"/>
        <item x="359"/>
        <item x="1093"/>
        <item x="447"/>
        <item x="283"/>
        <item x="31"/>
        <item x="550"/>
        <item x="1237"/>
        <item x="772"/>
        <item x="237"/>
        <item x="148"/>
        <item x="1061"/>
        <item x="505"/>
        <item x="692"/>
        <item x="1426"/>
        <item x="79"/>
        <item x="709"/>
        <item x="225"/>
        <item x="768"/>
        <item x="57"/>
        <item x="1388"/>
        <item x="417"/>
        <item x="918"/>
        <item x="628"/>
        <item x="940"/>
        <item x="1104"/>
        <item x="157"/>
        <item x="884"/>
        <item x="1204"/>
        <item x="777"/>
        <item x="1447"/>
        <item x="190"/>
        <item x="613"/>
        <item x="1302"/>
        <item x="882"/>
        <item x="544"/>
        <item x="1239"/>
        <item x="368"/>
        <item x="67"/>
        <item x="112"/>
        <item x="1339"/>
        <item x="309"/>
        <item x="1354"/>
        <item x="919"/>
        <item x="687"/>
        <item x="989"/>
        <item x="831"/>
        <item x="993"/>
        <item x="106"/>
        <item x="83"/>
        <item x="1365"/>
        <item x="1294"/>
        <item x="673"/>
        <item x="329"/>
        <item x="926"/>
        <item x="740"/>
        <item x="472"/>
        <item x="830"/>
        <item x="1417"/>
        <item x="1142"/>
        <item x="639"/>
        <item x="1325"/>
        <item x="126"/>
        <item x="1444"/>
        <item x="1062"/>
        <item x="305"/>
        <item x="516"/>
        <item x="1377"/>
        <item x="8"/>
        <item x="660"/>
        <item x="378"/>
        <item x="1090"/>
        <item x="1257"/>
        <item x="750"/>
        <item x="1209"/>
        <item x="242"/>
        <item x="170"/>
        <item x="845"/>
        <item x="456"/>
        <item x="396"/>
        <item x="491"/>
        <item x="1162"/>
        <item x="1301"/>
        <item x="1123"/>
        <item x="562"/>
        <item x="899"/>
        <item x="1357"/>
        <item x="154"/>
        <item x="109"/>
        <item x="198"/>
        <item x="0"/>
        <item x="1176"/>
        <item x="134"/>
        <item x="446"/>
        <item x="788"/>
        <item x="156"/>
        <item x="1457"/>
        <item x="738"/>
        <item x="798"/>
        <item x="111"/>
        <item x="1300"/>
        <item x="2"/>
        <item x="1366"/>
        <item x="1179"/>
        <item x="48"/>
        <item t="default"/>
      </items>
    </pivotField>
    <pivotField compact="0" showAll="0"/>
    <pivotField compact="0" showAll="0"/>
    <pivotField axis="axisRow" compact="0" showAll="0">
      <items count="7">
        <item x="1"/>
        <item x="3"/>
        <item x="2"/>
        <item x="5"/>
        <item x="0"/>
        <item x="4"/>
        <item t="default"/>
      </items>
    </pivotField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1445">
        <item x="1"/>
        <item x="919"/>
        <item x="1421"/>
        <item x="326"/>
        <item x="1016"/>
        <item x="945"/>
        <item x="693"/>
        <item x="531"/>
        <item x="282"/>
        <item x="1284"/>
        <item x="587"/>
        <item x="454"/>
        <item x="961"/>
        <item x="1269"/>
        <item x="91"/>
        <item x="92"/>
        <item x="831"/>
        <item x="208"/>
        <item x="1381"/>
        <item x="183"/>
        <item x="580"/>
        <item x="1336"/>
        <item x="837"/>
        <item x="577"/>
        <item x="868"/>
        <item x="943"/>
        <item x="786"/>
        <item x="227"/>
        <item x="393"/>
        <item x="112"/>
        <item x="703"/>
        <item x="875"/>
        <item x="339"/>
        <item x="983"/>
        <item x="1357"/>
        <item x="262"/>
        <item x="751"/>
        <item x="283"/>
        <item x="508"/>
        <item x="1403"/>
        <item x="1248"/>
        <item x="842"/>
        <item x="595"/>
        <item x="1377"/>
        <item x="1301"/>
        <item x="632"/>
        <item x="1433"/>
        <item x="77"/>
        <item x="836"/>
        <item x="936"/>
        <item x="160"/>
        <item x="187"/>
        <item x="246"/>
        <item x="389"/>
        <item x="696"/>
        <item x="311"/>
        <item x="1216"/>
        <item x="872"/>
        <item x="986"/>
        <item x="304"/>
        <item x="209"/>
        <item x="1202"/>
        <item x="382"/>
        <item x="441"/>
        <item x="110"/>
        <item x="1190"/>
        <item x="746"/>
        <item x="1149"/>
        <item x="1176"/>
        <item x="164"/>
        <item x="853"/>
        <item x="862"/>
        <item x="1053"/>
        <item x="1247"/>
        <item x="544"/>
        <item x="991"/>
        <item x="549"/>
        <item x="1101"/>
        <item x="891"/>
        <item x="309"/>
        <item x="775"/>
        <item x="939"/>
        <item x="607"/>
        <item x="1355"/>
        <item x="992"/>
        <item x="909"/>
        <item x="371"/>
        <item x="1312"/>
        <item x="754"/>
        <item x="249"/>
        <item x="1438"/>
        <item x="957"/>
        <item x="910"/>
        <item x="419"/>
        <item x="1163"/>
        <item x="1294"/>
        <item x="1151"/>
        <item x="101"/>
        <item x="1048"/>
        <item x="381"/>
        <item x="691"/>
        <item x="320"/>
        <item x="1436"/>
        <item x="170"/>
        <item x="388"/>
        <item x="1349"/>
        <item x="182"/>
        <item x="124"/>
        <item x="967"/>
        <item x="93"/>
        <item x="813"/>
        <item x="9"/>
        <item x="40"/>
        <item x="1170"/>
        <item x="799"/>
        <item x="1233"/>
        <item x="1230"/>
        <item x="1021"/>
        <item x="18"/>
        <item x="1299"/>
        <item x="865"/>
        <item x="496"/>
        <item x="646"/>
        <item x="241"/>
        <item x="71"/>
        <item x="1203"/>
        <item x="1118"/>
        <item x="924"/>
        <item x="955"/>
        <item x="1199"/>
        <item x="1214"/>
        <item x="934"/>
        <item x="1221"/>
        <item x="1157"/>
        <item x="354"/>
        <item x="771"/>
        <item x="48"/>
        <item x="683"/>
        <item x="556"/>
        <item x="1331"/>
        <item x="579"/>
        <item x="555"/>
        <item x="1087"/>
        <item x="358"/>
        <item x="1440"/>
        <item x="722"/>
        <item x="3"/>
        <item x="530"/>
        <item x="1152"/>
        <item x="705"/>
        <item x="1328"/>
        <item x="444"/>
        <item x="379"/>
        <item x="374"/>
        <item x="383"/>
        <item x="204"/>
        <item x="302"/>
        <item x="192"/>
        <item x="218"/>
        <item x="269"/>
        <item x="772"/>
        <item x="56"/>
        <item x="103"/>
        <item x="47"/>
        <item x="507"/>
        <item x="1323"/>
        <item x="137"/>
        <item x="1046"/>
        <item x="667"/>
        <item x="757"/>
        <item x="1003"/>
        <item x="222"/>
        <item x="982"/>
        <item x="781"/>
        <item x="845"/>
        <item x="1277"/>
        <item x="1109"/>
        <item x="1080"/>
        <item x="179"/>
        <item x="866"/>
        <item x="1071"/>
        <item x="1339"/>
        <item x="465"/>
        <item x="250"/>
        <item x="413"/>
        <item x="809"/>
        <item x="857"/>
        <item x="1228"/>
        <item x="1155"/>
        <item x="893"/>
        <item x="912"/>
        <item x="732"/>
        <item x="255"/>
        <item x="714"/>
        <item x="242"/>
        <item x="1236"/>
        <item x="1344"/>
        <item x="493"/>
        <item x="457"/>
        <item x="639"/>
        <item x="524"/>
        <item x="564"/>
        <item x="509"/>
        <item x="745"/>
        <item x="777"/>
        <item x="689"/>
        <item x="1318"/>
        <item x="1290"/>
        <item x="1348"/>
        <item x="1225"/>
        <item x="1067"/>
        <item x="1098"/>
        <item x="351"/>
        <item x="286"/>
        <item x="295"/>
        <item x="333"/>
        <item x="312"/>
        <item x="488"/>
        <item x="165"/>
        <item x="126"/>
        <item x="436"/>
        <item x="1135"/>
        <item x="590"/>
        <item x="644"/>
        <item x="1407"/>
        <item x="826"/>
        <item x="869"/>
        <item x="1011"/>
        <item x="148"/>
        <item x="1207"/>
        <item x="1085"/>
        <item x="407"/>
        <item x="1191"/>
        <item x="1346"/>
        <item x="612"/>
        <item x="1185"/>
        <item x="1246"/>
        <item x="824"/>
        <item x="944"/>
        <item x="1254"/>
        <item x="1047"/>
        <item x="410"/>
        <item x="1400"/>
        <item x="491"/>
        <item x="494"/>
        <item x="1189"/>
        <item x="801"/>
        <item x="315"/>
        <item x="359"/>
        <item x="1049"/>
        <item x="1320"/>
        <item x="560"/>
        <item x="759"/>
        <item x="1137"/>
        <item x="1020"/>
        <item x="299"/>
        <item x="792"/>
        <item x="73"/>
        <item x="100"/>
        <item x="881"/>
        <item x="122"/>
        <item x="709"/>
        <item x="821"/>
        <item x="673"/>
        <item x="63"/>
        <item x="1237"/>
        <item x="1014"/>
        <item x="385"/>
        <item x="684"/>
        <item x="514"/>
        <item x="1324"/>
        <item x="542"/>
        <item x="1131"/>
        <item x="724"/>
        <item x="102"/>
        <item x="181"/>
        <item x="1116"/>
        <item x="968"/>
        <item x="515"/>
        <item x="466"/>
        <item x="200"/>
        <item x="59"/>
        <item x="1008"/>
        <item x="624"/>
        <item x="935"/>
        <item x="547"/>
        <item x="243"/>
        <item x="271"/>
        <item x="335"/>
        <item x="1229"/>
        <item x="203"/>
        <item x="723"/>
        <item x="1127"/>
        <item x="916"/>
        <item x="1314"/>
        <item x="1412"/>
        <item x="920"/>
        <item x="42"/>
        <item x="1423"/>
        <item x="877"/>
        <item x="360"/>
        <item x="434"/>
        <item x="987"/>
        <item x="420"/>
        <item x="783"/>
        <item x="15"/>
        <item x="649"/>
        <item x="546"/>
        <item x="1198"/>
        <item x="867"/>
        <item x="368"/>
        <item x="737"/>
        <item x="858"/>
        <item x="1366"/>
        <item x="251"/>
        <item x="274"/>
        <item x="774"/>
        <item x="248"/>
        <item x="225"/>
        <item x="10"/>
        <item x="685"/>
        <item x="969"/>
        <item x="832"/>
        <item x="504"/>
        <item x="874"/>
        <item x="980"/>
        <item x="820"/>
        <item x="1065"/>
        <item x="949"/>
        <item x="817"/>
        <item x="938"/>
        <item x="184"/>
        <item x="1410"/>
        <item x="169"/>
        <item x="43"/>
        <item x="952"/>
        <item x="599"/>
        <item x="228"/>
        <item x="578"/>
        <item x="82"/>
        <item x="356"/>
        <item x="611"/>
        <item x="500"/>
        <item x="1295"/>
        <item x="808"/>
        <item x="686"/>
        <item x="625"/>
        <item x="582"/>
        <item x="427"/>
        <item x="931"/>
        <item x="132"/>
        <item x="753"/>
        <item x="150"/>
        <item x="31"/>
        <item x="1204"/>
        <item x="61"/>
        <item x="1439"/>
        <item x="364"/>
        <item x="989"/>
        <item x="1125"/>
        <item x="695"/>
        <item x="738"/>
        <item x="157"/>
        <item x="217"/>
        <item x="814"/>
        <item x="134"/>
        <item x="180"/>
        <item x="1426"/>
        <item x="1029"/>
        <item x="1310"/>
        <item x="517"/>
        <item x="1353"/>
        <item x="1401"/>
        <item x="30"/>
        <item x="664"/>
        <item x="735"/>
        <item x="1332"/>
        <item x="1437"/>
        <item x="690"/>
        <item x="677"/>
        <item x="1330"/>
        <item x="194"/>
        <item x="1068"/>
        <item x="347"/>
        <item x="699"/>
        <item x="1144"/>
        <item x="823"/>
        <item x="83"/>
        <item x="1044"/>
        <item x="583"/>
        <item x="1345"/>
        <item x="168"/>
        <item x="585"/>
        <item x="104"/>
        <item x="503"/>
        <item x="797"/>
        <item x="1300"/>
        <item x="756"/>
        <item x="6"/>
        <item x="506"/>
        <item x="373"/>
        <item x="214"/>
        <item x="475"/>
        <item x="325"/>
        <item x="174"/>
        <item x="396"/>
        <item x="610"/>
        <item x="883"/>
        <item x="501"/>
        <item x="305"/>
        <item x="223"/>
        <item x="408"/>
        <item x="1394"/>
        <item x="1350"/>
        <item x="1092"/>
        <item x="1083"/>
        <item x="94"/>
        <item x="829"/>
        <item x="770"/>
        <item x="1192"/>
        <item x="2"/>
        <item x="1156"/>
        <item x="620"/>
        <item x="390"/>
        <item x="1341"/>
        <item x="162"/>
        <item x="461"/>
        <item x="852"/>
        <item x="804"/>
        <item x="26"/>
        <item x="121"/>
        <item x="54"/>
        <item x="95"/>
        <item x="273"/>
        <item x="41"/>
        <item x="1317"/>
        <item x="1238"/>
        <item x="149"/>
        <item x="679"/>
        <item x="23"/>
        <item x="864"/>
        <item x="348"/>
        <item x="1105"/>
        <item x="357"/>
        <item x="604"/>
        <item x="1143"/>
        <item x="397"/>
        <item x="463"/>
        <item x="1223"/>
        <item x="401"/>
        <item x="1304"/>
        <item x="1287"/>
        <item x="576"/>
        <item x="142"/>
        <item x="1055"/>
        <item x="1276"/>
        <item x="196"/>
        <item x="567"/>
        <item x="815"/>
        <item x="421"/>
        <item x="990"/>
        <item x="405"/>
        <item x="1088"/>
        <item x="844"/>
        <item x="266"/>
        <item x="742"/>
        <item x="870"/>
        <item x="384"/>
        <item x="570"/>
        <item x="885"/>
        <item x="890"/>
        <item x="840"/>
        <item x="163"/>
        <item x="819"/>
        <item x="810"/>
        <item x="190"/>
        <item x="318"/>
        <item x="316"/>
        <item x="1056"/>
        <item x="994"/>
        <item x="1183"/>
        <item x="743"/>
        <item x="317"/>
        <item x="84"/>
        <item x="1052"/>
        <item x="615"/>
        <item x="172"/>
        <item x="1119"/>
        <item x="1285"/>
        <item x="623"/>
        <item x="284"/>
        <item x="452"/>
        <item x="948"/>
        <item x="1374"/>
        <item x="279"/>
        <item x="1387"/>
        <item x="631"/>
        <item x="89"/>
        <item x="1325"/>
        <item x="1291"/>
        <item x="907"/>
        <item x="525"/>
        <item x="1360"/>
        <item x="520"/>
        <item x="363"/>
        <item x="439"/>
        <item x="993"/>
        <item x="435"/>
        <item x="647"/>
        <item x="995"/>
        <item x="256"/>
        <item x="287"/>
        <item x="1018"/>
        <item x="1268"/>
        <item x="1063"/>
        <item x="1307"/>
        <item x="345"/>
        <item x="53"/>
        <item x="247"/>
        <item x="146"/>
        <item x="417"/>
        <item x="1059"/>
        <item x="898"/>
        <item x="1359"/>
        <item x="471"/>
        <item x="117"/>
        <item x="1154"/>
        <item x="314"/>
        <item x="510"/>
        <item x="328"/>
        <item x="290"/>
        <item x="1097"/>
        <item x="682"/>
        <item x="1435"/>
        <item x="1411"/>
        <item x="1242"/>
        <item x="1239"/>
        <item x="362"/>
        <item x="75"/>
        <item x="44"/>
        <item x="711"/>
        <item x="765"/>
        <item x="502"/>
        <item x="605"/>
        <item x="307"/>
        <item x="1051"/>
        <item x="352"/>
        <item x="291"/>
        <item x="950"/>
        <item x="1172"/>
        <item x="361"/>
        <item x="1147"/>
        <item x="490"/>
        <item x="800"/>
        <item x="1074"/>
        <item x="207"/>
        <item x="343"/>
        <item x="69"/>
        <item x="1219"/>
        <item x="608"/>
        <item x="296"/>
        <item x="650"/>
        <item x="14"/>
        <item x="908"/>
        <item x="1217"/>
        <item x="445"/>
        <item x="589"/>
        <item x="1416"/>
        <item x="1209"/>
        <item x="1193"/>
        <item x="1262"/>
        <item x="642"/>
        <item x="662"/>
        <item x="628"/>
        <item x="731"/>
        <item x="848"/>
        <item x="956"/>
        <item x="1090"/>
        <item x="1250"/>
        <item x="1115"/>
        <item x="459"/>
        <item x="1206"/>
        <item x="370"/>
        <item x="899"/>
        <item x="52"/>
        <item x="1334"/>
        <item x="718"/>
        <item x="1382"/>
        <item x="156"/>
        <item x="942"/>
        <item x="270"/>
        <item x="1140"/>
        <item x="64"/>
        <item x="592"/>
        <item x="155"/>
        <item x="1017"/>
        <item x="559"/>
        <item x="411"/>
        <item x="1275"/>
        <item x="730"/>
        <item x="719"/>
        <item x="614"/>
        <item x="598"/>
        <item x="337"/>
        <item x="1370"/>
        <item x="36"/>
        <item x="1110"/>
        <item x="707"/>
        <item x="79"/>
        <item x="1337"/>
        <item x="1432"/>
        <item x="1030"/>
        <item x="38"/>
        <item x="1232"/>
        <item x="1045"/>
        <item x="68"/>
        <item x="676"/>
        <item x="1271"/>
        <item x="7"/>
        <item x="1321"/>
        <item x="244"/>
        <item x="1265"/>
        <item x="1201"/>
        <item x="1158"/>
        <item x="811"/>
        <item x="850"/>
        <item x="1252"/>
        <item x="367"/>
        <item x="1406"/>
        <item x="713"/>
        <item x="1102"/>
        <item x="1134"/>
        <item x="637"/>
        <item x="1069"/>
        <item x="782"/>
        <item x="486"/>
        <item x="1036"/>
        <item x="882"/>
        <item x="594"/>
        <item x="1129"/>
        <item x="597"/>
        <item x="904"/>
        <item x="750"/>
        <item x="860"/>
        <item x="1057"/>
        <item x="453"/>
        <item x="201"/>
        <item x="1364"/>
        <item x="1006"/>
        <item x="1373"/>
        <item x="974"/>
        <item x="5"/>
        <item x="334"/>
        <item x="280"/>
        <item x="1256"/>
        <item x="400"/>
        <item x="1443"/>
        <item x="1081"/>
        <item x="1103"/>
        <item x="1297"/>
        <item x="308"/>
        <item x="238"/>
        <item x="621"/>
        <item x="1358"/>
        <item x="914"/>
        <item x="678"/>
        <item x="634"/>
        <item x="460"/>
        <item x="265"/>
        <item x="856"/>
        <item x="1340"/>
        <item x="1120"/>
        <item x="545"/>
        <item x="915"/>
        <item x="976"/>
        <item x="395"/>
        <item x="675"/>
        <item x="726"/>
        <item x="1379"/>
        <item x="1441"/>
        <item x="1378"/>
        <item x="1145"/>
        <item x="588"/>
        <item x="1305"/>
        <item x="1167"/>
        <item x="911"/>
        <item x="1194"/>
        <item x="90"/>
        <item x="896"/>
        <item x="766"/>
        <item x="537"/>
        <item x="258"/>
        <item x="1280"/>
        <item x="120"/>
        <item x="1141"/>
        <item x="482"/>
        <item x="917"/>
        <item x="1182"/>
        <item x="921"/>
        <item x="543"/>
        <item x="226"/>
        <item x="230"/>
        <item x="795"/>
        <item x="900"/>
        <item x="798"/>
        <item x="431"/>
        <item x="1058"/>
        <item x="1419"/>
        <item x="740"/>
        <item x="1150"/>
        <item x="1165"/>
        <item x="1385"/>
        <item x="205"/>
        <item x="1159"/>
        <item x="1211"/>
        <item x="1086"/>
        <item x="1196"/>
        <item x="127"/>
        <item x="234"/>
        <item x="925"/>
        <item x="1122"/>
        <item x="1298"/>
        <item x="186"/>
        <item x="643"/>
        <item x="1347"/>
        <item x="13"/>
        <item x="1356"/>
        <item x="978"/>
        <item x="105"/>
        <item x="147"/>
        <item x="985"/>
        <item x="1042"/>
        <item x="725"/>
        <item x="591"/>
        <item x="369"/>
        <item x="668"/>
        <item x="996"/>
        <item x="67"/>
        <item x="532"/>
        <item x="1414"/>
        <item x="1408"/>
        <item x="277"/>
        <item x="27"/>
        <item x="8"/>
        <item x="1258"/>
        <item x="674"/>
        <item x="1428"/>
        <item x="666"/>
        <item x="663"/>
        <item x="522"/>
        <item x="619"/>
        <item x="1038"/>
        <item x="557"/>
        <item x="803"/>
        <item x="903"/>
        <item x="512"/>
        <item x="616"/>
        <item x="33"/>
        <item x="553"/>
        <item x="928"/>
        <item x="761"/>
        <item x="767"/>
        <item x="1392"/>
        <item x="469"/>
        <item x="516"/>
        <item x="375"/>
        <item x="1104"/>
        <item x="789"/>
        <item x="404"/>
        <item x="1037"/>
        <item x="940"/>
        <item x="1136"/>
        <item x="1060"/>
        <item x="197"/>
        <item x="876"/>
        <item x="476"/>
        <item x="451"/>
        <item x="129"/>
        <item x="394"/>
        <item x="835"/>
        <item x="1429"/>
        <item x="199"/>
        <item x="573"/>
        <item x="627"/>
        <item x="409"/>
        <item x="887"/>
        <item x="1226"/>
        <item x="519"/>
        <item x="62"/>
        <item x="1354"/>
        <item x="355"/>
        <item x="581"/>
        <item x="930"/>
        <item x="671"/>
        <item x="99"/>
        <item x="34"/>
        <item x="473"/>
        <item x="734"/>
        <item x="481"/>
        <item x="922"/>
        <item x="929"/>
        <item x="1027"/>
        <item x="704"/>
        <item x="297"/>
        <item x="773"/>
        <item x="49"/>
        <item x="1146"/>
        <item x="350"/>
        <item x="541"/>
        <item x="1329"/>
        <item x="487"/>
        <item x="1365"/>
        <item x="220"/>
        <item x="658"/>
        <item x="433"/>
        <item x="1266"/>
        <item x="380"/>
        <item x="932"/>
        <item x="1388"/>
        <item x="572"/>
        <item x="791"/>
        <item x="933"/>
        <item x="784"/>
        <item x="1070"/>
        <item x="1093"/>
        <item x="1031"/>
        <item x="446"/>
        <item x="1012"/>
        <item x="1322"/>
        <item x="81"/>
        <item x="700"/>
        <item x="366"/>
        <item x="998"/>
        <item x="729"/>
        <item x="535"/>
        <item x="973"/>
        <item x="449"/>
        <item x="888"/>
        <item x="88"/>
        <item x="1169"/>
        <item x="323"/>
        <item x="1389"/>
        <item x="739"/>
        <item x="959"/>
        <item x="565"/>
        <item x="843"/>
        <item x="1289"/>
        <item x="1383"/>
        <item x="694"/>
        <item x="513"/>
        <item x="979"/>
        <item x="622"/>
        <item x="951"/>
        <item x="913"/>
        <item x="785"/>
        <item x="1249"/>
        <item x="1227"/>
        <item x="272"/>
        <item x="651"/>
        <item x="536"/>
        <item x="717"/>
        <item x="822"/>
        <item x="727"/>
        <item x="895"/>
        <item x="301"/>
        <item x="997"/>
        <item x="372"/>
        <item x="1121"/>
        <item x="702"/>
        <item x="1212"/>
        <item x="1292"/>
        <item x="953"/>
        <item x="216"/>
        <item x="1181"/>
        <item x="1208"/>
        <item x="342"/>
        <item x="70"/>
        <item x="131"/>
        <item x="344"/>
        <item x="1296"/>
        <item x="788"/>
        <item x="1218"/>
        <item x="1430"/>
        <item x="492"/>
        <item x="310"/>
        <item x="688"/>
        <item x="755"/>
        <item x="1180"/>
        <item x="288"/>
        <item x="563"/>
        <item x="554"/>
        <item x="484"/>
        <item x="418"/>
        <item x="596"/>
        <item x="96"/>
        <item x="859"/>
        <item x="116"/>
        <item x="386"/>
        <item x="399"/>
        <item x="606"/>
        <item x="855"/>
        <item x="470"/>
        <item x="655"/>
        <item x="1123"/>
        <item x="548"/>
        <item x="905"/>
        <item x="489"/>
        <item x="1015"/>
        <item x="827"/>
        <item x="1166"/>
        <item x="1138"/>
        <item x="1413"/>
        <item x="1114"/>
        <item x="1010"/>
        <item x="300"/>
        <item x="776"/>
        <item x="349"/>
        <item x="1243"/>
        <item x="1072"/>
        <item x="552"/>
        <item x="119"/>
        <item x="825"/>
        <item x="652"/>
        <item x="1077"/>
        <item x="1033"/>
        <item x="474"/>
        <item x="1142"/>
        <item x="327"/>
        <item x="1111"/>
        <item x="332"/>
        <item x="1259"/>
        <item x="17"/>
        <item x="257"/>
        <item x="480"/>
        <item x="630"/>
        <item x="1117"/>
        <item x="613"/>
        <item x="1288"/>
        <item x="701"/>
        <item x="708"/>
        <item x="906"/>
        <item x="640"/>
        <item x="902"/>
        <item x="1195"/>
        <item x="1272"/>
        <item x="1000"/>
        <item x="1371"/>
        <item x="1396"/>
        <item x="796"/>
        <item x="275"/>
        <item x="562"/>
        <item x="972"/>
        <item x="962"/>
        <item x="1442"/>
        <item x="1270"/>
        <item x="901"/>
        <item x="871"/>
        <item x="1398"/>
        <item x="1404"/>
        <item x="1361"/>
        <item x="1100"/>
        <item x="839"/>
        <item x="65"/>
        <item x="1173"/>
        <item x="1025"/>
        <item x="758"/>
        <item x="455"/>
        <item x="450"/>
        <item x="485"/>
        <item x="185"/>
        <item x="1106"/>
        <item x="569"/>
        <item x="472"/>
        <item x="0"/>
        <item x="1061"/>
        <item x="1041"/>
        <item x="422"/>
        <item x="981"/>
        <item x="1434"/>
        <item x="538"/>
        <item x="1179"/>
        <item x="97"/>
        <item x="833"/>
        <item x="306"/>
        <item x="558"/>
        <item x="107"/>
        <item x="1054"/>
        <item x="443"/>
        <item x="1026"/>
        <item x="1422"/>
        <item x="1231"/>
        <item x="1278"/>
        <item x="50"/>
        <item x="236"/>
        <item x="1293"/>
        <item x="294"/>
        <item x="1326"/>
        <item x="1175"/>
        <item x="341"/>
        <item x="780"/>
        <item x="219"/>
        <item x="1264"/>
        <item x="429"/>
        <item x="511"/>
        <item x="1082"/>
        <item x="1009"/>
        <item x="281"/>
        <item x="838"/>
        <item x="1162"/>
        <item x="322"/>
        <item x="437"/>
        <item x="21"/>
        <item x="57"/>
        <item x="1132"/>
        <item x="670"/>
        <item x="1133"/>
        <item x="947"/>
        <item x="828"/>
        <item x="303"/>
        <item x="161"/>
        <item x="1424"/>
        <item x="672"/>
        <item x="894"/>
        <item x="353"/>
        <item x="268"/>
        <item x="629"/>
        <item x="960"/>
        <item x="1222"/>
        <item x="1062"/>
        <item x="706"/>
        <item x="1431"/>
        <item x="499"/>
        <item x="779"/>
        <item x="769"/>
        <item x="721"/>
        <item x="74"/>
        <item x="19"/>
        <item x="1023"/>
        <item x="210"/>
        <item x="533"/>
        <item x="235"/>
        <item x="114"/>
        <item x="1409"/>
        <item x="239"/>
        <item x="139"/>
        <item x="744"/>
        <item x="790"/>
        <item x="1397"/>
        <item x="641"/>
        <item x="1040"/>
        <item x="601"/>
        <item x="1022"/>
        <item x="428"/>
        <item x="720"/>
        <item x="665"/>
        <item x="425"/>
        <item x="1007"/>
        <item x="188"/>
        <item x="1213"/>
        <item x="1091"/>
        <item x="551"/>
        <item x="1308"/>
        <item x="1084"/>
        <item x="11"/>
        <item x="1240"/>
        <item x="1418"/>
        <item x="321"/>
        <item x="1342"/>
        <item x="834"/>
        <item x="1362"/>
        <item x="136"/>
        <item x="138"/>
        <item x="1096"/>
        <item x="145"/>
        <item x="55"/>
        <item x="1161"/>
        <item x="847"/>
        <item x="478"/>
        <item x="1311"/>
        <item x="154"/>
        <item x="1130"/>
        <item x="498"/>
        <item x="85"/>
        <item x="1255"/>
        <item x="72"/>
        <item x="1286"/>
        <item x="1251"/>
        <item x="1035"/>
        <item x="818"/>
        <item x="1390"/>
        <item x="278"/>
        <item x="1177"/>
        <item x="414"/>
        <item x="46"/>
        <item x="1338"/>
        <item x="1263"/>
        <item x="518"/>
        <item x="1281"/>
        <item x="477"/>
        <item x="941"/>
        <item x="398"/>
        <item x="654"/>
        <item x="1273"/>
        <item x="584"/>
        <item x="58"/>
        <item x="1279"/>
        <item x="1171"/>
        <item x="633"/>
        <item x="221"/>
        <item x="206"/>
        <item x="1402"/>
        <item x="712"/>
        <item x="1019"/>
        <item x="657"/>
        <item x="889"/>
        <item x="412"/>
        <item x="846"/>
        <item x="20"/>
        <item x="574"/>
        <item x="267"/>
        <item x="130"/>
        <item x="1306"/>
        <item x="151"/>
        <item x="60"/>
        <item x="975"/>
        <item x="1352"/>
        <item x="467"/>
        <item x="568"/>
        <item x="324"/>
        <item x="133"/>
        <item x="66"/>
        <item x="1417"/>
        <item x="1405"/>
        <item x="1333"/>
        <item x="812"/>
        <item x="878"/>
        <item x="1386"/>
        <item x="762"/>
        <item x="716"/>
        <item x="849"/>
        <item x="749"/>
        <item x="495"/>
        <item x="1327"/>
        <item x="1050"/>
        <item x="22"/>
        <item x="193"/>
        <item x="483"/>
        <item x="977"/>
        <item x="609"/>
        <item x="240"/>
        <item x="1335"/>
        <item x="656"/>
        <item x="195"/>
        <item x="1001"/>
        <item x="698"/>
        <item x="1283"/>
        <item x="1160"/>
        <item x="1168"/>
        <item x="423"/>
        <item x="778"/>
        <item x="456"/>
        <item x="387"/>
        <item x="338"/>
        <item x="854"/>
        <item x="109"/>
        <item x="298"/>
        <item x="752"/>
        <item x="259"/>
        <item x="497"/>
        <item x="988"/>
        <item x="539"/>
        <item x="178"/>
        <item x="432"/>
        <item x="1282"/>
        <item x="1380"/>
        <item x="261"/>
        <item x="660"/>
        <item x="571"/>
        <item x="438"/>
        <item x="1351"/>
        <item x="1075"/>
        <item x="747"/>
        <item x="462"/>
        <item x="593"/>
        <item x="111"/>
        <item x="430"/>
        <item x="158"/>
        <item x="527"/>
        <item x="971"/>
        <item x="32"/>
        <item x="768"/>
        <item x="550"/>
        <item x="1395"/>
        <item x="1215"/>
        <item x="1064"/>
        <item x="897"/>
        <item x="1309"/>
        <item x="215"/>
        <item x="1174"/>
        <item x="505"/>
        <item x="159"/>
        <item x="1303"/>
        <item x="669"/>
        <item x="1343"/>
        <item x="1089"/>
        <item x="1039"/>
        <item x="51"/>
        <item x="128"/>
        <item x="884"/>
        <item x="191"/>
        <item x="39"/>
        <item x="697"/>
        <item x="918"/>
        <item x="198"/>
        <item x="1079"/>
        <item x="710"/>
        <item x="963"/>
        <item x="1427"/>
        <item x="880"/>
        <item x="260"/>
        <item x="1099"/>
        <item x="661"/>
        <item x="1391"/>
        <item x="276"/>
        <item x="1375"/>
        <item x="1399"/>
        <item x="464"/>
        <item x="1369"/>
        <item x="28"/>
        <item x="1261"/>
        <item x="575"/>
        <item x="171"/>
        <item x="1210"/>
        <item x="1108"/>
        <item x="1148"/>
        <item x="1315"/>
        <item x="233"/>
        <item x="448"/>
        <item x="424"/>
        <item x="175"/>
        <item x="692"/>
        <item x="313"/>
        <item x="365"/>
        <item x="617"/>
        <item x="1200"/>
        <item x="1224"/>
        <item x="1267"/>
        <item x="681"/>
        <item x="1034"/>
        <item x="76"/>
        <item x="1002"/>
        <item x="534"/>
        <item x="540"/>
        <item x="391"/>
        <item x="764"/>
        <item x="1094"/>
        <item x="125"/>
        <item x="879"/>
        <item x="166"/>
        <item x="1078"/>
        <item x="1319"/>
        <item x="442"/>
        <item x="479"/>
        <item x="1241"/>
        <item x="346"/>
        <item x="245"/>
        <item x="331"/>
        <item x="440"/>
        <item x="635"/>
        <item x="78"/>
        <item x="1164"/>
        <item x="958"/>
        <item x="1393"/>
        <item x="292"/>
        <item x="447"/>
        <item x="1178"/>
        <item x="173"/>
        <item x="1420"/>
        <item x="802"/>
        <item x="787"/>
        <item x="143"/>
        <item x="602"/>
        <item x="687"/>
        <item x="886"/>
        <item x="626"/>
        <item x="763"/>
        <item x="264"/>
        <item x="793"/>
        <item x="851"/>
        <item x="600"/>
        <item x="403"/>
        <item x="728"/>
        <item x="177"/>
        <item x="458"/>
        <item x="1024"/>
        <item x="106"/>
        <item x="378"/>
        <item x="340"/>
        <item x="1235"/>
        <item x="123"/>
        <item x="1245"/>
        <item x="736"/>
        <item x="1368"/>
        <item x="1234"/>
        <item x="748"/>
        <item x="229"/>
        <item x="863"/>
        <item x="212"/>
        <item x="923"/>
        <item x="566"/>
        <item x="25"/>
        <item x="153"/>
        <item x="805"/>
        <item x="1128"/>
        <item x="1005"/>
        <item x="1186"/>
        <item x="741"/>
        <item x="529"/>
        <item x="330"/>
        <item x="1244"/>
        <item x="1013"/>
        <item x="526"/>
        <item x="927"/>
        <item x="329"/>
        <item x="285"/>
        <item x="12"/>
        <item x="965"/>
        <item x="1184"/>
        <item x="4"/>
        <item x="653"/>
        <item x="648"/>
        <item x="618"/>
        <item x="1260"/>
        <item x="37"/>
        <item x="289"/>
        <item x="1415"/>
        <item x="87"/>
        <item x="202"/>
        <item x="892"/>
        <item x="86"/>
        <item x="377"/>
        <item x="645"/>
        <item x="1363"/>
        <item x="1095"/>
        <item x="1188"/>
        <item x="680"/>
        <item x="416"/>
        <item x="24"/>
        <item x="1257"/>
        <item x="1302"/>
        <item x="211"/>
        <item x="1139"/>
        <item x="1113"/>
        <item x="254"/>
        <item x="1066"/>
        <item x="140"/>
        <item x="1126"/>
        <item x="807"/>
        <item x="1313"/>
        <item x="376"/>
        <item x="16"/>
        <item x="108"/>
        <item x="144"/>
        <item x="98"/>
        <item x="392"/>
        <item x="426"/>
        <item x="80"/>
        <item x="1107"/>
        <item x="141"/>
        <item x="29"/>
        <item x="406"/>
        <item x="468"/>
        <item x="1112"/>
        <item x="1004"/>
        <item x="293"/>
        <item x="970"/>
        <item x="1076"/>
        <item x="45"/>
        <item x="760"/>
        <item x="1197"/>
        <item x="1205"/>
        <item x="1043"/>
        <item x="1028"/>
        <item x="926"/>
        <item x="1384"/>
        <item x="861"/>
        <item x="415"/>
        <item x="561"/>
        <item x="999"/>
        <item x="115"/>
        <item x="152"/>
        <item x="954"/>
        <item x="1372"/>
        <item x="113"/>
        <item x="636"/>
        <item x="1367"/>
        <item x="937"/>
        <item x="237"/>
        <item x="1274"/>
        <item x="830"/>
        <item x="659"/>
        <item x="966"/>
        <item x="35"/>
        <item x="715"/>
        <item x="1187"/>
        <item x="1425"/>
        <item x="232"/>
        <item x="167"/>
        <item x="1316"/>
        <item x="253"/>
        <item x="946"/>
        <item x="1153"/>
        <item x="189"/>
        <item x="964"/>
        <item x="816"/>
        <item x="213"/>
        <item x="528"/>
        <item x="841"/>
        <item x="733"/>
        <item x="638"/>
        <item x="176"/>
        <item x="252"/>
        <item x="984"/>
        <item x="521"/>
        <item x="873"/>
        <item x="118"/>
        <item x="806"/>
        <item x="1073"/>
        <item x="135"/>
        <item x="336"/>
        <item x="263"/>
        <item x="231"/>
        <item x="1032"/>
        <item x="523"/>
        <item x="1220"/>
        <item x="603"/>
        <item x="1253"/>
        <item x="224"/>
        <item x="794"/>
        <item x="586"/>
        <item x="402"/>
        <item x="1124"/>
        <item x="1376"/>
        <item x="319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MonthlyIncom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1"/>
  <sheetViews>
    <sheetView tabSelected="1" workbookViewId="0">
      <selection activeCell="A1" sqref="A1"/>
    </sheetView>
  </sheetViews>
  <sheetFormatPr defaultColWidth="9" defaultRowHeight="15"/>
  <cols>
    <col min="1" max="1" width="23.8571428571429"/>
    <col min="2" max="2" width="17.7142857142857" customWidth="1"/>
    <col min="3" max="3" width="16.5714285714286" customWidth="1"/>
    <col min="4" max="4" width="17.4285714285714" customWidth="1"/>
    <col min="5" max="5" width="18.8571428571429" customWidth="1"/>
    <col min="6" max="6" width="8.52380952380952"/>
    <col min="7" max="7" width="15.4285714285714" customWidth="1"/>
    <col min="8" max="8" width="14.8571428571429" customWidth="1"/>
    <col min="9" max="9" width="15.7142857142857" customWidth="1"/>
    <col min="10" max="10" width="12.4285714285714" customWidth="1"/>
    <col min="11" max="11" width="15.2857142857143" customWidth="1"/>
    <col min="12" max="12" width="8.52380952380952"/>
    <col min="13" max="13" width="11.5714285714286"/>
    <col min="14" max="14" width="8.52380952380952"/>
    <col min="15" max="15" width="11.5714285714286"/>
    <col min="16" max="16" width="8.52380952380952"/>
    <col min="17" max="17" width="11.5714285714286"/>
    <col min="18" max="18" width="8.52380952380952"/>
    <col min="19" max="19" width="11.5714285714286"/>
    <col min="20" max="20" width="8.52380952380952"/>
    <col min="21" max="21" width="11.5714285714286"/>
    <col min="22" max="22" width="8.52380952380952"/>
    <col min="23" max="23" width="11.5714285714286"/>
    <col min="24" max="24" width="8.52380952380952"/>
    <col min="25" max="25" width="11.5714285714286"/>
    <col min="26" max="26" width="8.52380952380952"/>
    <col min="27" max="27" width="11.5714285714286"/>
    <col min="28" max="28" width="8.52380952380952"/>
    <col min="29" max="29" width="11.5714285714286"/>
    <col min="30" max="30" width="8.52380952380952"/>
    <col min="31" max="31" width="11.5714285714286"/>
    <col min="32" max="32" width="8.52380952380952"/>
    <col min="33" max="33" width="11.5714285714286"/>
    <col min="34" max="34" width="8.52380952380952"/>
    <col min="35" max="35" width="11.5714285714286"/>
    <col min="36" max="36" width="8.52380952380952"/>
    <col min="37" max="37" width="11.5714285714286"/>
    <col min="38" max="38" width="8.52380952380952"/>
    <col min="39" max="39" width="11.5714285714286"/>
    <col min="40" max="40" width="8.52380952380952"/>
    <col min="41" max="41" width="11.5714285714286"/>
    <col min="42" max="42" width="8.52380952380952"/>
    <col min="43" max="43" width="11.5714285714286"/>
    <col min="44" max="44" width="8.52380952380952"/>
    <col min="45" max="45" width="11.5714285714286"/>
    <col min="46" max="46" width="8.52380952380952"/>
    <col min="47" max="47" width="11.5714285714286"/>
    <col min="48" max="48" width="8.52380952380952"/>
    <col min="49" max="49" width="11.5714285714286"/>
    <col min="50" max="50" width="8.52380952380952"/>
    <col min="51" max="51" width="11.5714285714286"/>
    <col min="52" max="52" width="8.52380952380952"/>
    <col min="53" max="53" width="11.5714285714286"/>
    <col min="54" max="54" width="8.52380952380952"/>
    <col min="55" max="55" width="11.5714285714286"/>
    <col min="56" max="56" width="8.52380952380952"/>
    <col min="57" max="57" width="11.5714285714286"/>
    <col min="58" max="58" width="8.52380952380952"/>
    <col min="59" max="59" width="11.5714285714286"/>
    <col min="60" max="60" width="8.52380952380952"/>
    <col min="61" max="61" width="11.5714285714286"/>
    <col min="62" max="62" width="8.52380952380952"/>
    <col min="63" max="63" width="11.5714285714286"/>
    <col min="64" max="64" width="8.52380952380952"/>
    <col min="65" max="65" width="11.5714285714286"/>
    <col min="66" max="66" width="8.52380952380952"/>
    <col min="67" max="67" width="11.5714285714286"/>
    <col min="68" max="68" width="8.52380952380952"/>
    <col min="69" max="69" width="11.5714285714286"/>
    <col min="70" max="70" width="8.52380952380952"/>
    <col min="71" max="71" width="11.5714285714286"/>
    <col min="72" max="72" width="8.52380952380952"/>
    <col min="73" max="73" width="11.5714285714286"/>
    <col min="74" max="74" width="8.52380952380952"/>
    <col min="75" max="75" width="11.5714285714286"/>
    <col min="76" max="76" width="8.52380952380952"/>
    <col min="77" max="77" width="11.5714285714286"/>
    <col min="78" max="78" width="8.52380952380952"/>
    <col min="79" max="79" width="11.5714285714286"/>
    <col min="80" max="80" width="8.52380952380952"/>
    <col min="81" max="81" width="11.5714285714286"/>
    <col min="82" max="82" width="8.52380952380952"/>
    <col min="83" max="83" width="11.5714285714286"/>
    <col min="84" max="84" width="8.52380952380952"/>
    <col min="85" max="85" width="11.5714285714286"/>
    <col min="86" max="86" width="8.52380952380952"/>
    <col min="87" max="87" width="11.5714285714286"/>
    <col min="88" max="88" width="8.52380952380952"/>
    <col min="89" max="89" width="11.5714285714286"/>
    <col min="90" max="90" width="8.52380952380952"/>
    <col min="91" max="91" width="11.5714285714286"/>
    <col min="92" max="92" width="8.52380952380952"/>
    <col min="93" max="93" width="11.5714285714286"/>
    <col min="94" max="94" width="8.52380952380952"/>
    <col min="95" max="95" width="11.5714285714286"/>
    <col min="96" max="96" width="8.52380952380952"/>
    <col min="97" max="97" width="11.5714285714286"/>
    <col min="98" max="98" width="8.52380952380952"/>
    <col min="99" max="99" width="11.5714285714286"/>
    <col min="100" max="100" width="8.52380952380952"/>
    <col min="101" max="101" width="11.5714285714286"/>
    <col min="102" max="102" width="8.52380952380952"/>
    <col min="103" max="103" width="11.5714285714286"/>
    <col min="104" max="104" width="8.52380952380952"/>
    <col min="105" max="105" width="11.5714285714286"/>
    <col min="106" max="106" width="8.52380952380952"/>
    <col min="107" max="107" width="11.5714285714286"/>
    <col min="108" max="108" width="8.52380952380952"/>
    <col min="109" max="109" width="11.5714285714286"/>
    <col min="110" max="110" width="8.52380952380952"/>
    <col min="111" max="111" width="11.5714285714286"/>
    <col min="112" max="112" width="8.52380952380952"/>
    <col min="113" max="113" width="11.5714285714286"/>
    <col min="114" max="114" width="8.52380952380952"/>
    <col min="115" max="115" width="11.5714285714286"/>
    <col min="116" max="116" width="8.52380952380952"/>
    <col min="117" max="117" width="11.5714285714286"/>
    <col min="118" max="118" width="8.52380952380952"/>
    <col min="119" max="119" width="11.5714285714286"/>
    <col min="120" max="120" width="8.52380952380952"/>
    <col min="121" max="121" width="11.5714285714286"/>
    <col min="122" max="122" width="8.52380952380952"/>
    <col min="123" max="123" width="11.5714285714286"/>
    <col min="124" max="124" width="8.52380952380952"/>
    <col min="125" max="125" width="11.5714285714286"/>
    <col min="126" max="126" width="8.52380952380952"/>
    <col min="127" max="127" width="11.5714285714286"/>
    <col min="128" max="128" width="8.52380952380952"/>
    <col min="129" max="129" width="11.5714285714286"/>
    <col min="130" max="130" width="8.52380952380952"/>
    <col min="131" max="131" width="11.5714285714286"/>
    <col min="132" max="132" width="8.52380952380952"/>
    <col min="133" max="133" width="11.5714285714286"/>
    <col min="134" max="134" width="8.52380952380952"/>
    <col min="135" max="135" width="11.5714285714286"/>
    <col min="136" max="136" width="8.52380952380952"/>
    <col min="137" max="137" width="11.5714285714286"/>
    <col min="138" max="138" width="8.52380952380952"/>
    <col min="139" max="139" width="11.5714285714286"/>
    <col min="140" max="140" width="8.52380952380952"/>
    <col min="141" max="141" width="11.5714285714286"/>
    <col min="142" max="142" width="8.52380952380952"/>
    <col min="143" max="143" width="11.5714285714286"/>
    <col min="144" max="144" width="8.52380952380952"/>
    <col min="145" max="145" width="11.5714285714286"/>
    <col min="146" max="146" width="8.52380952380952"/>
    <col min="147" max="147" width="11.5714285714286"/>
    <col min="148" max="148" width="8.52380952380952"/>
    <col min="149" max="149" width="11.5714285714286"/>
    <col min="150" max="150" width="8.52380952380952"/>
    <col min="151" max="151" width="11.5714285714286"/>
    <col min="152" max="152" width="8.52380952380952"/>
    <col min="153" max="153" width="11.5714285714286"/>
    <col min="154" max="154" width="8.52380952380952"/>
    <col min="155" max="155" width="11.5714285714286"/>
    <col min="156" max="156" width="8.52380952380952"/>
    <col min="157" max="157" width="11.5714285714286"/>
    <col min="158" max="158" width="8.52380952380952"/>
    <col min="159" max="159" width="11.5714285714286"/>
    <col min="160" max="160" width="8.52380952380952"/>
    <col min="161" max="161" width="11.5714285714286"/>
    <col min="162" max="162" width="8.52380952380952"/>
    <col min="163" max="163" width="11.5714285714286"/>
    <col min="164" max="164" width="8.52380952380952"/>
    <col min="165" max="165" width="11.5714285714286"/>
    <col min="166" max="166" width="8.52380952380952"/>
    <col min="167" max="167" width="11.5714285714286"/>
    <col min="168" max="168" width="8.52380952380952"/>
    <col min="169" max="169" width="11.5714285714286"/>
    <col min="170" max="170" width="8.52380952380952"/>
    <col min="171" max="171" width="11.5714285714286"/>
    <col min="172" max="172" width="8.52380952380952"/>
    <col min="173" max="173" width="11.5714285714286"/>
    <col min="174" max="174" width="8.52380952380952"/>
    <col min="175" max="175" width="11.5714285714286"/>
    <col min="176" max="176" width="8.52380952380952"/>
    <col min="177" max="177" width="11.5714285714286"/>
    <col min="178" max="178" width="8.52380952380952"/>
    <col min="179" max="179" width="11.5714285714286"/>
    <col min="180" max="180" width="8.52380952380952"/>
    <col min="181" max="181" width="11.5714285714286"/>
    <col min="182" max="182" width="8.52380952380952"/>
    <col min="183" max="183" width="11.5714285714286"/>
    <col min="184" max="184" width="8.52380952380952"/>
    <col min="185" max="185" width="11.5714285714286"/>
    <col min="186" max="186" width="8.52380952380952"/>
    <col min="187" max="187" width="11.5714285714286"/>
    <col min="188" max="188" width="8.52380952380952"/>
    <col min="189" max="189" width="11.5714285714286"/>
    <col min="190" max="190" width="8.52380952380952"/>
    <col min="191" max="191" width="11.5714285714286"/>
    <col min="192" max="192" width="8.52380952380952"/>
    <col min="193" max="193" width="11.5714285714286"/>
    <col min="194" max="194" width="8.52380952380952"/>
    <col min="195" max="195" width="11.5714285714286"/>
    <col min="196" max="196" width="8.52380952380952"/>
    <col min="197" max="197" width="11.5714285714286"/>
    <col min="198" max="198" width="8.52380952380952"/>
    <col min="199" max="199" width="11.5714285714286"/>
    <col min="200" max="200" width="8.52380952380952"/>
    <col min="201" max="201" width="11.5714285714286"/>
    <col min="202" max="202" width="8.52380952380952"/>
    <col min="203" max="203" width="11.5714285714286"/>
    <col min="204" max="204" width="8.52380952380952"/>
    <col min="205" max="205" width="11.5714285714286"/>
    <col min="206" max="206" width="8.52380952380952"/>
    <col min="207" max="207" width="11.5714285714286"/>
    <col min="208" max="208" width="8.52380952380952"/>
    <col min="209" max="209" width="11.5714285714286"/>
    <col min="210" max="210" width="8.52380952380952"/>
    <col min="211" max="211" width="11.5714285714286"/>
    <col min="212" max="212" width="8.52380952380952"/>
    <col min="213" max="213" width="11.5714285714286"/>
    <col min="214" max="214" width="8.52380952380952"/>
    <col min="215" max="215" width="11.5714285714286"/>
    <col min="216" max="216" width="8.52380952380952"/>
    <col min="217" max="217" width="11.5714285714286"/>
    <col min="218" max="218" width="8.52380952380952"/>
    <col min="219" max="219" width="11.5714285714286"/>
    <col min="220" max="220" width="8.52380952380952"/>
    <col min="221" max="221" width="11.5714285714286"/>
    <col min="222" max="222" width="8.52380952380952"/>
    <col min="223" max="223" width="11.5714285714286"/>
    <col min="224" max="224" width="8.52380952380952"/>
    <col min="225" max="225" width="11.5714285714286"/>
    <col min="226" max="226" width="8.52380952380952"/>
    <col min="227" max="227" width="11.5714285714286"/>
    <col min="228" max="228" width="8.52380952380952"/>
    <col min="229" max="229" width="11.5714285714286"/>
    <col min="230" max="230" width="8.52380952380952"/>
    <col min="231" max="231" width="11.5714285714286"/>
    <col min="232" max="232" width="8.52380952380952"/>
    <col min="233" max="233" width="11.5714285714286"/>
    <col min="234" max="234" width="8.52380952380952"/>
    <col min="235" max="235" width="11.5714285714286"/>
    <col min="236" max="236" width="8.52380952380952"/>
    <col min="237" max="237" width="11.5714285714286"/>
    <col min="238" max="238" width="8.52380952380952"/>
    <col min="239" max="239" width="11.5714285714286"/>
    <col min="240" max="240" width="8.52380952380952"/>
    <col min="241" max="241" width="11.5714285714286"/>
    <col min="242" max="242" width="8.52380952380952"/>
    <col min="243" max="243" width="11.5714285714286"/>
    <col min="244" max="244" width="8.52380952380952"/>
    <col min="245" max="245" width="11.5714285714286"/>
    <col min="246" max="246" width="8.52380952380952"/>
    <col min="247" max="247" width="11.5714285714286"/>
    <col min="248" max="248" width="8.52380952380952"/>
    <col min="249" max="249" width="11.5714285714286"/>
    <col min="250" max="250" width="8.52380952380952"/>
    <col min="251" max="251" width="11.5714285714286"/>
    <col min="252" max="252" width="8.52380952380952"/>
    <col min="253" max="253" width="11.5714285714286"/>
    <col min="254" max="254" width="8.52380952380952"/>
    <col min="255" max="255" width="11.5714285714286"/>
    <col min="256" max="256" width="8.52380952380952"/>
    <col min="257" max="257" width="11.5714285714286"/>
    <col min="258" max="258" width="8.52380952380952"/>
    <col min="259" max="259" width="11.5714285714286"/>
    <col min="260" max="260" width="8.52380952380952"/>
    <col min="261" max="261" width="11.5714285714286"/>
    <col min="262" max="262" width="8.52380952380952"/>
    <col min="263" max="263" width="11.5714285714286"/>
    <col min="264" max="264" width="8.52380952380952"/>
    <col min="265" max="265" width="11.5714285714286"/>
    <col min="266" max="266" width="8.52380952380952"/>
    <col min="267" max="267" width="11.5714285714286"/>
    <col min="268" max="268" width="8.52380952380952"/>
    <col min="269" max="269" width="11.5714285714286"/>
    <col min="270" max="270" width="8.52380952380952"/>
    <col min="271" max="271" width="11.5714285714286"/>
    <col min="272" max="272" width="8.52380952380952"/>
    <col min="273" max="273" width="11.5714285714286"/>
    <col min="274" max="274" width="8.52380952380952"/>
    <col min="275" max="275" width="11.5714285714286"/>
    <col min="276" max="276" width="8.52380952380952"/>
    <col min="277" max="277" width="11.5714285714286"/>
    <col min="278" max="278" width="8.52380952380952"/>
    <col min="279" max="279" width="11.5714285714286"/>
    <col min="280" max="280" width="8.52380952380952"/>
    <col min="281" max="281" width="11.5714285714286"/>
    <col min="282" max="282" width="8.52380952380952"/>
    <col min="283" max="283" width="11.5714285714286"/>
    <col min="284" max="284" width="8.52380952380952"/>
    <col min="285" max="285" width="11.5714285714286"/>
    <col min="286" max="286" width="8.52380952380952"/>
    <col min="287" max="287" width="11.5714285714286"/>
    <col min="288" max="288" width="8.52380952380952"/>
    <col min="289" max="289" width="11.5714285714286"/>
    <col min="290" max="290" width="8.52380952380952"/>
    <col min="291" max="291" width="11.5714285714286"/>
    <col min="292" max="292" width="8.52380952380952"/>
    <col min="293" max="293" width="11.5714285714286"/>
    <col min="294" max="294" width="8.52380952380952"/>
    <col min="295" max="295" width="11.5714285714286"/>
    <col min="296" max="296" width="8.52380952380952"/>
    <col min="297" max="297" width="11.5714285714286"/>
    <col min="298" max="298" width="8.52380952380952"/>
    <col min="299" max="299" width="11.5714285714286"/>
    <col min="300" max="300" width="8.52380952380952"/>
    <col min="301" max="301" width="11.5714285714286"/>
    <col min="302" max="302" width="8.52380952380952"/>
    <col min="303" max="303" width="11.5714285714286"/>
    <col min="304" max="304" width="8.52380952380952"/>
    <col min="305" max="305" width="11.5714285714286"/>
    <col min="306" max="306" width="8.52380952380952"/>
    <col min="307" max="307" width="11.5714285714286"/>
    <col min="308" max="308" width="8.52380952380952"/>
    <col min="309" max="309" width="11.5714285714286"/>
    <col min="310" max="310" width="8.52380952380952"/>
    <col min="311" max="311" width="11.5714285714286"/>
    <col min="312" max="312" width="8.52380952380952"/>
    <col min="313" max="313" width="11.5714285714286"/>
    <col min="314" max="314" width="8.52380952380952"/>
    <col min="315" max="315" width="11.5714285714286"/>
    <col min="316" max="316" width="8.52380952380952"/>
    <col min="317" max="317" width="11.5714285714286"/>
    <col min="318" max="318" width="8.52380952380952"/>
    <col min="319" max="319" width="11.5714285714286"/>
    <col min="320" max="320" width="8.52380952380952"/>
    <col min="321" max="321" width="11.5714285714286"/>
    <col min="322" max="322" width="8.52380952380952"/>
    <col min="323" max="323" width="11.5714285714286"/>
    <col min="324" max="324" width="8.52380952380952"/>
    <col min="325" max="325" width="11.5714285714286"/>
    <col min="326" max="326" width="8.52380952380952"/>
    <col min="327" max="327" width="11.5714285714286"/>
    <col min="328" max="328" width="8.52380952380952"/>
    <col min="329" max="329" width="11.5714285714286"/>
    <col min="330" max="330" width="8.52380952380952"/>
    <col min="331" max="331" width="11.5714285714286"/>
    <col min="332" max="332" width="8.52380952380952"/>
    <col min="333" max="333" width="11.5714285714286"/>
    <col min="334" max="334" width="8.52380952380952"/>
    <col min="335" max="335" width="11.5714285714286"/>
    <col min="336" max="336" width="8.52380952380952"/>
    <col min="337" max="337" width="11.5714285714286"/>
    <col min="338" max="338" width="8.52380952380952"/>
    <col min="339" max="339" width="11.5714285714286"/>
    <col min="340" max="340" width="8.52380952380952"/>
    <col min="341" max="341" width="11.5714285714286"/>
    <col min="342" max="342" width="8.52380952380952"/>
    <col min="343" max="343" width="11.5714285714286"/>
    <col min="344" max="344" width="8.52380952380952"/>
    <col min="345" max="345" width="11.5714285714286"/>
    <col min="346" max="346" width="8.52380952380952"/>
    <col min="347" max="347" width="11.5714285714286"/>
    <col min="348" max="348" width="8.52380952380952"/>
    <col min="349" max="349" width="11.5714285714286"/>
    <col min="350" max="350" width="8.52380952380952"/>
    <col min="351" max="351" width="11.5714285714286"/>
    <col min="352" max="352" width="8.52380952380952"/>
    <col min="353" max="353" width="11.5714285714286"/>
    <col min="354" max="354" width="8.52380952380952"/>
    <col min="355" max="355" width="11.5714285714286"/>
    <col min="356" max="356" width="8.52380952380952"/>
    <col min="357" max="357" width="11.5714285714286"/>
    <col min="358" max="358" width="8.52380952380952"/>
    <col min="359" max="359" width="11.5714285714286"/>
    <col min="360" max="360" width="8.52380952380952"/>
    <col min="361" max="361" width="11.5714285714286"/>
    <col min="362" max="362" width="8.52380952380952"/>
    <col min="363" max="363" width="11.5714285714286"/>
    <col min="364" max="364" width="8.52380952380952"/>
    <col min="365" max="365" width="11.5714285714286"/>
    <col min="366" max="366" width="8.52380952380952"/>
    <col min="367" max="367" width="11.5714285714286"/>
    <col min="368" max="368" width="8.52380952380952"/>
    <col min="369" max="369" width="11.5714285714286"/>
    <col min="370" max="370" width="8.52380952380952"/>
    <col min="371" max="371" width="11.5714285714286"/>
    <col min="372" max="372" width="8.52380952380952"/>
    <col min="373" max="373" width="11.5714285714286"/>
    <col min="374" max="374" width="8.52380952380952"/>
    <col min="375" max="375" width="11.5714285714286"/>
    <col min="376" max="376" width="8.52380952380952"/>
    <col min="377" max="377" width="11.5714285714286"/>
    <col min="378" max="378" width="8.52380952380952"/>
    <col min="379" max="379" width="11.5714285714286"/>
    <col min="380" max="380" width="8.52380952380952"/>
    <col min="381" max="381" width="11.5714285714286"/>
    <col min="382" max="382" width="8.52380952380952"/>
    <col min="383" max="383" width="11.5714285714286"/>
    <col min="384" max="384" width="8.52380952380952"/>
    <col min="385" max="385" width="11.5714285714286"/>
    <col min="386" max="386" width="8.52380952380952"/>
    <col min="387" max="387" width="11.5714285714286"/>
    <col min="388" max="388" width="8.52380952380952"/>
    <col min="389" max="389" width="11.5714285714286"/>
    <col min="390" max="390" width="8.52380952380952"/>
    <col min="391" max="391" width="11.5714285714286"/>
    <col min="392" max="392" width="8.52380952380952"/>
    <col min="393" max="393" width="11.5714285714286"/>
    <col min="394" max="394" width="8.52380952380952"/>
    <col min="395" max="395" width="11.5714285714286"/>
    <col min="396" max="396" width="8.52380952380952"/>
    <col min="397" max="397" width="11.5714285714286"/>
    <col min="398" max="398" width="8.52380952380952"/>
    <col min="399" max="399" width="11.5714285714286"/>
    <col min="400" max="400" width="8.52380952380952"/>
    <col min="401" max="401" width="11.5714285714286"/>
    <col min="402" max="402" width="8.52380952380952"/>
    <col min="403" max="403" width="11.5714285714286"/>
    <col min="404" max="404" width="8.52380952380952"/>
    <col min="405" max="405" width="11.5714285714286"/>
    <col min="406" max="406" width="8.52380952380952"/>
    <col min="407" max="407" width="11.5714285714286"/>
    <col min="408" max="408" width="8.52380952380952"/>
    <col min="409" max="409" width="11.5714285714286"/>
    <col min="410" max="410" width="8.52380952380952"/>
    <col min="411" max="411" width="11.5714285714286"/>
    <col min="412" max="412" width="8.52380952380952"/>
    <col min="413" max="413" width="11.5714285714286"/>
    <col min="414" max="414" width="8.52380952380952"/>
    <col min="415" max="415" width="11.5714285714286"/>
    <col min="416" max="416" width="8.52380952380952"/>
    <col min="417" max="417" width="11.5714285714286"/>
    <col min="418" max="418" width="8.52380952380952"/>
    <col min="419" max="419" width="11.5714285714286"/>
    <col min="420" max="420" width="8.52380952380952"/>
    <col min="421" max="421" width="11.5714285714286"/>
    <col min="422" max="422" width="8.52380952380952"/>
    <col min="423" max="423" width="11.5714285714286"/>
    <col min="424" max="424" width="8.52380952380952"/>
    <col min="425" max="425" width="11.5714285714286"/>
    <col min="426" max="426" width="8.52380952380952"/>
    <col min="427" max="427" width="11.5714285714286"/>
    <col min="428" max="428" width="8.52380952380952"/>
    <col min="429" max="429" width="11.5714285714286"/>
    <col min="430" max="430" width="8.52380952380952"/>
    <col min="431" max="431" width="11.5714285714286"/>
    <col min="432" max="432" width="8.52380952380952"/>
    <col min="433" max="433" width="11.5714285714286"/>
    <col min="434" max="434" width="8.52380952380952"/>
    <col min="435" max="435" width="11.5714285714286"/>
    <col min="436" max="436" width="8.52380952380952"/>
    <col min="437" max="437" width="11.5714285714286"/>
    <col min="438" max="438" width="8.52380952380952"/>
    <col min="439" max="439" width="11.5714285714286"/>
    <col min="440" max="440" width="8.52380952380952"/>
    <col min="441" max="441" width="11.5714285714286"/>
    <col min="442" max="442" width="8.52380952380952"/>
    <col min="443" max="443" width="11.5714285714286"/>
    <col min="444" max="444" width="8.52380952380952"/>
    <col min="445" max="445" width="11.5714285714286"/>
    <col min="446" max="446" width="8.52380952380952"/>
    <col min="447" max="447" width="11.5714285714286"/>
    <col min="448" max="448" width="8.52380952380952"/>
    <col min="449" max="449" width="11.5714285714286"/>
    <col min="450" max="450" width="8.52380952380952"/>
    <col min="451" max="451" width="11.5714285714286"/>
    <col min="452" max="452" width="8.52380952380952"/>
    <col min="453" max="453" width="11.5714285714286"/>
    <col min="454" max="454" width="8.52380952380952"/>
    <col min="455" max="455" width="11.5714285714286"/>
    <col min="456" max="456" width="8.52380952380952"/>
    <col min="457" max="457" width="11.5714285714286"/>
    <col min="458" max="458" width="8.52380952380952"/>
    <col min="459" max="459" width="11.5714285714286"/>
    <col min="460" max="460" width="8.52380952380952"/>
    <col min="461" max="461" width="11.5714285714286"/>
    <col min="462" max="462" width="8.52380952380952"/>
    <col min="463" max="463" width="11.5714285714286"/>
    <col min="464" max="464" width="8.52380952380952"/>
    <col min="465" max="465" width="11.5714285714286"/>
    <col min="466" max="466" width="8.52380952380952"/>
    <col min="467" max="467" width="11.5714285714286"/>
    <col min="468" max="468" width="8.52380952380952"/>
    <col min="469" max="469" width="11.5714285714286"/>
    <col min="470" max="470" width="8.52380952380952"/>
    <col min="471" max="471" width="11.5714285714286"/>
    <col min="472" max="472" width="8.52380952380952"/>
    <col min="473" max="473" width="11.5714285714286"/>
    <col min="474" max="474" width="8.52380952380952"/>
    <col min="475" max="475" width="11.5714285714286"/>
    <col min="476" max="476" width="8.52380952380952"/>
    <col min="477" max="477" width="11.5714285714286"/>
    <col min="478" max="478" width="8.52380952380952"/>
    <col min="479" max="479" width="11.5714285714286"/>
    <col min="480" max="480" width="8.52380952380952"/>
    <col min="481" max="481" width="11.5714285714286"/>
    <col min="482" max="482" width="8.52380952380952"/>
    <col min="483" max="483" width="11.5714285714286"/>
    <col min="484" max="484" width="8.52380952380952"/>
    <col min="485" max="485" width="11.5714285714286"/>
    <col min="486" max="486" width="8.52380952380952"/>
    <col min="487" max="487" width="11.5714285714286"/>
    <col min="488" max="488" width="8.52380952380952"/>
    <col min="489" max="489" width="11.5714285714286"/>
    <col min="490" max="490" width="8.52380952380952"/>
    <col min="491" max="491" width="11.5714285714286"/>
    <col min="492" max="492" width="8.52380952380952"/>
    <col min="493" max="493" width="11.5714285714286"/>
    <col min="494" max="494" width="8.52380952380952"/>
    <col min="495" max="495" width="11.5714285714286"/>
    <col min="496" max="496" width="8.52380952380952"/>
    <col min="497" max="497" width="11.5714285714286"/>
    <col min="498" max="498" width="8.52380952380952"/>
    <col min="499" max="499" width="11.5714285714286"/>
    <col min="500" max="500" width="8.52380952380952"/>
    <col min="501" max="501" width="11.5714285714286"/>
    <col min="502" max="502" width="8.52380952380952"/>
    <col min="503" max="503" width="11.5714285714286"/>
    <col min="504" max="504" width="8.52380952380952"/>
    <col min="505" max="505" width="11.5714285714286"/>
    <col min="506" max="506" width="8.52380952380952"/>
    <col min="507" max="507" width="11.5714285714286"/>
    <col min="508" max="508" width="8.52380952380952"/>
    <col min="509" max="509" width="11.5714285714286"/>
    <col min="510" max="510" width="8.52380952380952"/>
    <col min="511" max="511" width="11.5714285714286"/>
    <col min="512" max="512" width="8.52380952380952"/>
    <col min="513" max="513" width="11.5714285714286"/>
    <col min="514" max="514" width="8.52380952380952"/>
    <col min="515" max="515" width="11.5714285714286"/>
    <col min="516" max="516" width="8.52380952380952"/>
    <col min="517" max="517" width="11.5714285714286"/>
    <col min="518" max="518" width="8.52380952380952"/>
    <col min="519" max="519" width="11.5714285714286"/>
    <col min="520" max="520" width="8.52380952380952"/>
    <col min="521" max="521" width="11.5714285714286"/>
    <col min="522" max="522" width="8.52380952380952"/>
    <col min="523" max="523" width="11.5714285714286"/>
    <col min="524" max="524" width="8.52380952380952"/>
    <col min="525" max="525" width="11.5714285714286"/>
    <col min="526" max="526" width="8.52380952380952"/>
    <col min="527" max="527" width="11.5714285714286"/>
    <col min="528" max="528" width="8.52380952380952"/>
    <col min="529" max="529" width="11.5714285714286"/>
    <col min="530" max="530" width="8.52380952380952"/>
    <col min="531" max="531" width="11.5714285714286"/>
    <col min="532" max="532" width="8.52380952380952"/>
    <col min="533" max="533" width="11.5714285714286"/>
    <col min="534" max="534" width="8.52380952380952"/>
    <col min="535" max="535" width="11.5714285714286"/>
    <col min="536" max="536" width="8.52380952380952"/>
    <col min="537" max="537" width="11.5714285714286"/>
    <col min="538" max="538" width="8.52380952380952"/>
    <col min="539" max="539" width="11.5714285714286"/>
    <col min="540" max="540" width="8.52380952380952"/>
    <col min="541" max="541" width="11.5714285714286"/>
    <col min="542" max="542" width="8.52380952380952"/>
    <col min="543" max="543" width="11.5714285714286"/>
    <col min="544" max="544" width="8.52380952380952"/>
    <col min="545" max="545" width="11.5714285714286"/>
    <col min="546" max="546" width="8.52380952380952"/>
    <col min="547" max="547" width="11.5714285714286"/>
    <col min="548" max="548" width="8.52380952380952"/>
    <col min="549" max="549" width="11.5714285714286"/>
    <col min="550" max="550" width="8.52380952380952"/>
    <col min="551" max="551" width="11.5714285714286"/>
    <col min="552" max="552" width="8.52380952380952"/>
    <col min="553" max="553" width="11.5714285714286"/>
    <col min="554" max="554" width="8.52380952380952"/>
    <col min="555" max="555" width="11.5714285714286"/>
    <col min="556" max="556" width="8.52380952380952"/>
    <col min="557" max="557" width="11.5714285714286"/>
    <col min="558" max="558" width="8.52380952380952"/>
    <col min="559" max="559" width="11.5714285714286"/>
    <col min="560" max="560" width="8.52380952380952"/>
    <col min="561" max="561" width="11.5714285714286"/>
    <col min="562" max="562" width="8.52380952380952"/>
    <col min="563" max="563" width="11.5714285714286"/>
    <col min="564" max="564" width="8.52380952380952"/>
    <col min="565" max="565" width="11.5714285714286"/>
    <col min="566" max="566" width="8.52380952380952"/>
    <col min="567" max="567" width="11.5714285714286"/>
    <col min="568" max="568" width="8.52380952380952"/>
    <col min="569" max="569" width="11.5714285714286"/>
    <col min="570" max="570" width="8.52380952380952"/>
    <col min="571" max="571" width="11.5714285714286"/>
    <col min="572" max="572" width="8.52380952380952"/>
    <col min="573" max="573" width="11.5714285714286"/>
    <col min="574" max="574" width="8.52380952380952"/>
    <col min="575" max="575" width="11.5714285714286"/>
    <col min="576" max="576" width="8.52380952380952"/>
    <col min="577" max="577" width="11.5714285714286"/>
    <col min="578" max="578" width="8.52380952380952"/>
    <col min="579" max="579" width="11.5714285714286"/>
    <col min="580" max="580" width="8.52380952380952"/>
    <col min="581" max="581" width="11.5714285714286"/>
    <col min="582" max="582" width="8.52380952380952"/>
    <col min="583" max="583" width="11.5714285714286"/>
    <col min="584" max="584" width="8.52380952380952"/>
    <col min="585" max="585" width="11.5714285714286"/>
    <col min="586" max="586" width="8.52380952380952"/>
    <col min="587" max="587" width="11.5714285714286"/>
    <col min="588" max="588" width="8.52380952380952"/>
    <col min="589" max="589" width="11.5714285714286"/>
    <col min="590" max="590" width="8.52380952380952"/>
    <col min="591" max="591" width="11.5714285714286"/>
    <col min="592" max="592" width="8.52380952380952"/>
    <col min="593" max="593" width="11.5714285714286"/>
    <col min="594" max="594" width="8.52380952380952"/>
    <col min="595" max="595" width="11.5714285714286"/>
    <col min="596" max="596" width="8.52380952380952"/>
    <col min="597" max="597" width="11.5714285714286"/>
    <col min="598" max="598" width="8.52380952380952"/>
    <col min="599" max="599" width="11.5714285714286"/>
    <col min="600" max="600" width="8.52380952380952"/>
    <col min="601" max="601" width="11.5714285714286"/>
    <col min="602" max="602" width="8.52380952380952"/>
    <col min="603" max="603" width="11.5714285714286"/>
    <col min="604" max="604" width="8.52380952380952"/>
    <col min="605" max="605" width="11.5714285714286"/>
    <col min="606" max="606" width="8.52380952380952"/>
    <col min="607" max="607" width="11.5714285714286"/>
    <col min="608" max="608" width="8.52380952380952"/>
    <col min="609" max="609" width="11.5714285714286"/>
    <col min="610" max="610" width="8.52380952380952"/>
    <col min="611" max="611" width="11.5714285714286"/>
    <col min="612" max="612" width="8.52380952380952"/>
    <col min="613" max="613" width="11.5714285714286"/>
    <col min="614" max="614" width="8.52380952380952"/>
    <col min="615" max="615" width="11.5714285714286"/>
    <col min="616" max="616" width="8.52380952380952"/>
    <col min="617" max="617" width="11.5714285714286"/>
    <col min="618" max="618" width="8.52380952380952"/>
    <col min="619" max="619" width="11.5714285714286"/>
    <col min="620" max="620" width="8.52380952380952"/>
    <col min="621" max="621" width="11.5714285714286"/>
    <col min="622" max="622" width="8.52380952380952"/>
    <col min="623" max="623" width="11.5714285714286"/>
    <col min="624" max="624" width="8.52380952380952"/>
    <col min="625" max="625" width="11.5714285714286"/>
    <col min="626" max="626" width="8.52380952380952"/>
    <col min="627" max="627" width="11.5714285714286"/>
    <col min="628" max="628" width="8.52380952380952"/>
    <col min="629" max="629" width="11.5714285714286"/>
    <col min="630" max="630" width="8.52380952380952"/>
    <col min="631" max="631" width="11.5714285714286"/>
    <col min="632" max="632" width="8.52380952380952"/>
    <col min="633" max="633" width="11.5714285714286"/>
    <col min="634" max="634" width="8.52380952380952"/>
    <col min="635" max="635" width="11.5714285714286"/>
    <col min="636" max="636" width="8.52380952380952"/>
    <col min="637" max="637" width="11.5714285714286"/>
    <col min="638" max="638" width="8.52380952380952"/>
    <col min="639" max="639" width="11.5714285714286"/>
    <col min="640" max="640" width="8.52380952380952"/>
    <col min="641" max="641" width="11.5714285714286"/>
    <col min="642" max="642" width="8.52380952380952"/>
    <col min="643" max="643" width="11.5714285714286"/>
    <col min="644" max="644" width="8.52380952380952"/>
    <col min="645" max="645" width="11.5714285714286"/>
    <col min="646" max="646" width="8.52380952380952"/>
    <col min="647" max="647" width="11.5714285714286"/>
    <col min="648" max="648" width="8.52380952380952"/>
    <col min="649" max="649" width="11.5714285714286"/>
    <col min="650" max="650" width="8.52380952380952"/>
    <col min="651" max="651" width="11.5714285714286"/>
    <col min="652" max="652" width="8.52380952380952"/>
    <col min="653" max="653" width="11.5714285714286"/>
    <col min="654" max="654" width="8.52380952380952"/>
    <col min="655" max="655" width="11.5714285714286"/>
    <col min="656" max="656" width="8.52380952380952"/>
    <col min="657" max="657" width="11.5714285714286"/>
    <col min="658" max="658" width="8.52380952380952"/>
    <col min="659" max="659" width="11.5714285714286"/>
    <col min="660" max="660" width="8.52380952380952"/>
    <col min="661" max="661" width="11.5714285714286"/>
    <col min="662" max="662" width="8.52380952380952"/>
    <col min="663" max="663" width="11.5714285714286"/>
    <col min="664" max="664" width="8.52380952380952"/>
    <col min="665" max="665" width="11.5714285714286"/>
    <col min="666" max="666" width="8.52380952380952"/>
    <col min="667" max="667" width="11.5714285714286"/>
    <col min="668" max="668" width="8.52380952380952"/>
    <col min="669" max="669" width="11.5714285714286"/>
    <col min="670" max="670" width="8.52380952380952"/>
    <col min="671" max="671" width="11.5714285714286"/>
    <col min="672" max="672" width="8.52380952380952"/>
    <col min="673" max="673" width="11.5714285714286"/>
    <col min="674" max="674" width="8.52380952380952"/>
    <col min="675" max="675" width="11.5714285714286"/>
    <col min="676" max="676" width="8.52380952380952"/>
    <col min="677" max="677" width="11.5714285714286"/>
    <col min="678" max="678" width="8.52380952380952"/>
    <col min="679" max="679" width="11.5714285714286"/>
    <col min="680" max="680" width="8.52380952380952"/>
    <col min="681" max="681" width="11.5714285714286"/>
    <col min="682" max="682" width="8.52380952380952"/>
    <col min="683" max="683" width="11.5714285714286"/>
    <col min="684" max="684" width="8.52380952380952"/>
    <col min="685" max="685" width="11.5714285714286"/>
    <col min="686" max="686" width="8.52380952380952"/>
    <col min="687" max="687" width="11.5714285714286"/>
    <col min="688" max="688" width="8.52380952380952"/>
    <col min="689" max="689" width="11.5714285714286"/>
    <col min="690" max="690" width="8.52380952380952"/>
    <col min="691" max="691" width="11.5714285714286"/>
    <col min="692" max="692" width="8.52380952380952"/>
    <col min="693" max="693" width="11.5714285714286"/>
    <col min="694" max="694" width="8.52380952380952"/>
    <col min="695" max="695" width="11.5714285714286"/>
    <col min="696" max="696" width="8.52380952380952"/>
    <col min="697" max="697" width="11.5714285714286"/>
    <col min="698" max="698" width="8.52380952380952"/>
    <col min="699" max="699" width="11.5714285714286"/>
    <col min="700" max="700" width="8.52380952380952"/>
    <col min="701" max="701" width="11.5714285714286"/>
    <col min="702" max="702" width="8.52380952380952"/>
    <col min="703" max="703" width="11.5714285714286"/>
    <col min="704" max="704" width="8.52380952380952"/>
    <col min="705" max="705" width="11.5714285714286"/>
    <col min="706" max="706" width="8.52380952380952"/>
    <col min="707" max="707" width="11.5714285714286"/>
    <col min="708" max="708" width="8.52380952380952"/>
    <col min="709" max="709" width="11.5714285714286"/>
    <col min="710" max="710" width="8.52380952380952"/>
    <col min="711" max="711" width="11.5714285714286"/>
    <col min="712" max="712" width="8.52380952380952"/>
    <col min="713" max="713" width="11.5714285714286"/>
    <col min="714" max="714" width="8.52380952380952"/>
    <col min="715" max="715" width="11.5714285714286"/>
    <col min="716" max="716" width="8.52380952380952"/>
    <col min="717" max="717" width="11.5714285714286"/>
    <col min="718" max="718" width="8.52380952380952"/>
    <col min="719" max="719" width="11.5714285714286"/>
    <col min="720" max="720" width="8.52380952380952"/>
    <col min="721" max="721" width="11.5714285714286"/>
    <col min="722" max="722" width="8.52380952380952"/>
    <col min="723" max="723" width="11.5714285714286"/>
    <col min="724" max="724" width="8.52380952380952"/>
    <col min="725" max="725" width="11.5714285714286"/>
    <col min="726" max="726" width="8.52380952380952"/>
    <col min="727" max="727" width="11.5714285714286"/>
    <col min="728" max="728" width="8.52380952380952"/>
    <col min="729" max="729" width="11.5714285714286"/>
    <col min="730" max="730" width="8.52380952380952"/>
    <col min="731" max="731" width="11.5714285714286"/>
    <col min="732" max="732" width="8.52380952380952"/>
    <col min="733" max="733" width="11.5714285714286"/>
    <col min="734" max="734" width="8.52380952380952"/>
    <col min="735" max="735" width="11.5714285714286"/>
    <col min="736" max="736" width="8.52380952380952"/>
    <col min="737" max="737" width="11.5714285714286"/>
    <col min="738" max="738" width="8.52380952380952"/>
    <col min="739" max="739" width="11.5714285714286"/>
    <col min="740" max="740" width="8.52380952380952"/>
    <col min="741" max="741" width="11.5714285714286"/>
    <col min="742" max="742" width="8.52380952380952"/>
    <col min="743" max="743" width="11.5714285714286"/>
    <col min="744" max="744" width="8.52380952380952"/>
    <col min="745" max="745" width="11.5714285714286"/>
    <col min="746" max="746" width="8.52380952380952"/>
    <col min="747" max="747" width="11.5714285714286"/>
    <col min="748" max="748" width="8.52380952380952"/>
    <col min="749" max="749" width="11.5714285714286"/>
    <col min="750" max="750" width="8.52380952380952"/>
    <col min="751" max="751" width="11.5714285714286"/>
    <col min="752" max="752" width="8.52380952380952"/>
    <col min="753" max="753" width="11.5714285714286"/>
    <col min="754" max="754" width="8.52380952380952"/>
    <col min="755" max="755" width="11.5714285714286"/>
    <col min="756" max="756" width="8.52380952380952"/>
    <col min="757" max="757" width="11.5714285714286"/>
    <col min="758" max="758" width="8.52380952380952"/>
    <col min="759" max="759" width="11.5714285714286"/>
    <col min="760" max="760" width="8.52380952380952"/>
    <col min="761" max="761" width="11.5714285714286"/>
    <col min="762" max="762" width="8.52380952380952"/>
    <col min="763" max="763" width="11.5714285714286"/>
    <col min="764" max="764" width="8.52380952380952"/>
    <col min="765" max="765" width="11.5714285714286"/>
    <col min="766" max="766" width="8.52380952380952"/>
    <col min="767" max="767" width="11.5714285714286"/>
    <col min="768" max="768" width="8.52380952380952"/>
    <col min="769" max="769" width="11.5714285714286"/>
    <col min="770" max="770" width="8.52380952380952"/>
    <col min="771" max="771" width="11.5714285714286"/>
    <col min="772" max="772" width="8.52380952380952"/>
    <col min="773" max="773" width="11.5714285714286"/>
    <col min="774" max="774" width="8.52380952380952"/>
    <col min="775" max="775" width="11.5714285714286"/>
    <col min="776" max="776" width="8.52380952380952"/>
    <col min="777" max="777" width="11.5714285714286"/>
    <col min="778" max="778" width="8.52380952380952"/>
    <col min="779" max="779" width="11.5714285714286"/>
    <col min="780" max="780" width="8.52380952380952"/>
    <col min="781" max="781" width="11.5714285714286"/>
    <col min="782" max="782" width="8.52380952380952"/>
    <col min="783" max="783" width="11.5714285714286"/>
    <col min="784" max="784" width="8.52380952380952"/>
    <col min="785" max="785" width="11.5714285714286"/>
    <col min="786" max="786" width="8.52380952380952"/>
    <col min="787" max="787" width="11.5714285714286"/>
    <col min="788" max="788" width="8.52380952380952"/>
    <col min="789" max="789" width="11.5714285714286"/>
    <col min="790" max="790" width="8.52380952380952"/>
    <col min="791" max="791" width="11.5714285714286"/>
    <col min="792" max="792" width="8.52380952380952"/>
    <col min="793" max="793" width="11.5714285714286"/>
    <col min="794" max="794" width="8.52380952380952"/>
    <col min="795" max="795" width="11.5714285714286"/>
    <col min="796" max="796" width="8.52380952380952"/>
    <col min="797" max="797" width="11.5714285714286"/>
    <col min="798" max="798" width="8.52380952380952"/>
    <col min="799" max="799" width="11.5714285714286"/>
    <col min="800" max="800" width="8.52380952380952"/>
    <col min="801" max="801" width="11.5714285714286"/>
    <col min="802" max="802" width="8.52380952380952"/>
    <col min="803" max="803" width="11.5714285714286"/>
    <col min="804" max="804" width="8.52380952380952"/>
    <col min="805" max="805" width="11.5714285714286"/>
    <col min="806" max="806" width="8.52380952380952"/>
    <col min="807" max="807" width="11.5714285714286"/>
    <col min="808" max="808" width="8.52380952380952"/>
    <col min="809" max="809" width="11.5714285714286"/>
    <col min="810" max="810" width="8.52380952380952"/>
    <col min="811" max="811" width="11.5714285714286"/>
    <col min="812" max="812" width="8.52380952380952"/>
    <col min="813" max="813" width="11.5714285714286"/>
    <col min="814" max="814" width="8.52380952380952"/>
    <col min="815" max="815" width="11.5714285714286"/>
    <col min="816" max="816" width="8.52380952380952"/>
    <col min="817" max="817" width="11.5714285714286"/>
    <col min="818" max="818" width="8.52380952380952"/>
    <col min="819" max="819" width="11.5714285714286"/>
    <col min="820" max="820" width="8.52380952380952"/>
    <col min="821" max="821" width="11.5714285714286"/>
    <col min="822" max="822" width="8.52380952380952"/>
    <col min="823" max="823" width="11.5714285714286"/>
    <col min="824" max="824" width="8.52380952380952"/>
    <col min="825" max="825" width="11.5714285714286"/>
    <col min="826" max="826" width="8.52380952380952"/>
    <col min="827" max="827" width="11.5714285714286"/>
    <col min="828" max="828" width="8.52380952380952"/>
    <col min="829" max="829" width="11.5714285714286"/>
    <col min="830" max="830" width="8.52380952380952"/>
    <col min="831" max="831" width="11.5714285714286"/>
    <col min="832" max="832" width="8.52380952380952"/>
    <col min="833" max="833" width="11.5714285714286"/>
    <col min="834" max="834" width="8.52380952380952"/>
    <col min="835" max="835" width="11.5714285714286"/>
    <col min="836" max="836" width="8.52380952380952"/>
    <col min="837" max="837" width="11.5714285714286"/>
    <col min="838" max="838" width="8.52380952380952"/>
    <col min="839" max="839" width="11.5714285714286"/>
    <col min="840" max="840" width="8.52380952380952"/>
    <col min="841" max="841" width="11.5714285714286"/>
    <col min="842" max="842" width="8.52380952380952"/>
    <col min="843" max="843" width="11.5714285714286"/>
    <col min="844" max="844" width="8.52380952380952"/>
    <col min="845" max="845" width="11.5714285714286"/>
    <col min="846" max="846" width="8.52380952380952"/>
    <col min="847" max="847" width="11.5714285714286"/>
    <col min="848" max="848" width="8.52380952380952"/>
    <col min="849" max="849" width="11.5714285714286"/>
    <col min="850" max="850" width="8.52380952380952"/>
    <col min="851" max="851" width="11.5714285714286"/>
    <col min="852" max="852" width="8.52380952380952"/>
    <col min="853" max="853" width="11.5714285714286"/>
    <col min="854" max="854" width="8.52380952380952"/>
    <col min="855" max="855" width="11.5714285714286"/>
    <col min="856" max="856" width="8.52380952380952"/>
    <col min="857" max="857" width="11.5714285714286"/>
    <col min="858" max="858" width="8.52380952380952"/>
    <col min="859" max="859" width="11.5714285714286"/>
    <col min="860" max="860" width="8.52380952380952"/>
    <col min="861" max="861" width="11.5714285714286"/>
    <col min="862" max="862" width="8.52380952380952"/>
    <col min="863" max="863" width="11.5714285714286"/>
    <col min="864" max="864" width="8.52380952380952"/>
    <col min="865" max="865" width="11.5714285714286"/>
    <col min="866" max="866" width="8.52380952380952"/>
    <col min="867" max="867" width="11.5714285714286"/>
    <col min="868" max="868" width="8.52380952380952"/>
    <col min="869" max="869" width="11.5714285714286"/>
    <col min="870" max="870" width="8.52380952380952"/>
    <col min="871" max="871" width="11.5714285714286"/>
    <col min="872" max="872" width="8.52380952380952"/>
    <col min="873" max="873" width="11.5714285714286"/>
    <col min="874" max="874" width="8.52380952380952"/>
    <col min="875" max="875" width="11.5714285714286"/>
    <col min="876" max="876" width="8.52380952380952"/>
    <col min="877" max="877" width="11.5714285714286"/>
    <col min="878" max="878" width="8.52380952380952"/>
    <col min="879" max="879" width="11.5714285714286"/>
    <col min="880" max="880" width="8.52380952380952"/>
    <col min="881" max="881" width="11.5714285714286"/>
    <col min="882" max="882" width="8.52380952380952"/>
    <col min="883" max="883" width="11.5714285714286"/>
    <col min="884" max="884" width="8.52380952380952"/>
    <col min="885" max="885" width="11.5714285714286"/>
    <col min="886" max="886" width="8.52380952380952"/>
    <col min="887" max="887" width="11.5714285714286"/>
    <col min="888" max="888" width="8.52380952380952"/>
    <col min="889" max="889" width="11.5714285714286"/>
    <col min="890" max="890" width="8.52380952380952"/>
    <col min="891" max="891" width="11.5714285714286"/>
    <col min="892" max="892" width="8.52380952380952"/>
    <col min="893" max="893" width="11.5714285714286"/>
    <col min="894" max="894" width="8.52380952380952"/>
    <col min="895" max="895" width="11.5714285714286"/>
    <col min="896" max="896" width="8.52380952380952"/>
    <col min="897" max="897" width="11.5714285714286"/>
    <col min="898" max="898" width="8.52380952380952"/>
    <col min="899" max="899" width="11.5714285714286"/>
    <col min="900" max="900" width="8.52380952380952"/>
    <col min="901" max="901" width="11.5714285714286"/>
    <col min="902" max="902" width="8.52380952380952"/>
    <col min="903" max="903" width="11.5714285714286"/>
    <col min="904" max="904" width="8.52380952380952"/>
    <col min="905" max="905" width="11.5714285714286"/>
    <col min="906" max="906" width="8.52380952380952"/>
    <col min="907" max="907" width="11.5714285714286"/>
    <col min="908" max="908" width="8.52380952380952"/>
    <col min="909" max="909" width="11.5714285714286"/>
    <col min="910" max="910" width="8.52380952380952"/>
    <col min="911" max="911" width="11.5714285714286"/>
    <col min="912" max="912" width="8.52380952380952"/>
    <col min="913" max="913" width="11.5714285714286"/>
    <col min="914" max="914" width="8.52380952380952"/>
    <col min="915" max="915" width="11.5714285714286"/>
    <col min="916" max="916" width="8.52380952380952"/>
    <col min="917" max="917" width="11.5714285714286"/>
    <col min="918" max="918" width="8.52380952380952"/>
    <col min="919" max="919" width="11.5714285714286"/>
    <col min="920" max="920" width="8.52380952380952"/>
    <col min="921" max="921" width="11.5714285714286"/>
    <col min="922" max="922" width="8.52380952380952"/>
    <col min="923" max="923" width="11.5714285714286"/>
    <col min="924" max="924" width="8.52380952380952"/>
    <col min="925" max="925" width="11.5714285714286"/>
    <col min="926" max="926" width="8.52380952380952"/>
    <col min="927" max="927" width="11.5714285714286"/>
    <col min="928" max="928" width="8.52380952380952"/>
    <col min="929" max="929" width="11.5714285714286"/>
    <col min="930" max="930" width="8.52380952380952"/>
    <col min="931" max="931" width="11.5714285714286"/>
    <col min="932" max="932" width="8.52380952380952"/>
    <col min="933" max="933" width="11.5714285714286"/>
    <col min="934" max="934" width="8.52380952380952"/>
    <col min="935" max="935" width="11.5714285714286"/>
    <col min="936" max="936" width="8.52380952380952"/>
    <col min="937" max="937" width="11.5714285714286"/>
    <col min="938" max="938" width="8.52380952380952"/>
    <col min="939" max="939" width="11.5714285714286"/>
    <col min="940" max="940" width="8.52380952380952"/>
    <col min="941" max="941" width="11.5714285714286"/>
    <col min="942" max="942" width="8.52380952380952"/>
    <col min="943" max="943" width="11.5714285714286"/>
    <col min="944" max="944" width="8.52380952380952"/>
    <col min="945" max="945" width="11.5714285714286"/>
    <col min="946" max="946" width="8.52380952380952"/>
    <col min="947" max="947" width="11.5714285714286"/>
    <col min="948" max="948" width="8.52380952380952"/>
    <col min="949" max="949" width="11.5714285714286"/>
    <col min="950" max="950" width="8.52380952380952"/>
    <col min="951" max="951" width="11.5714285714286"/>
    <col min="952" max="952" width="8.52380952380952"/>
    <col min="953" max="953" width="11.5714285714286"/>
    <col min="954" max="954" width="8.52380952380952"/>
    <col min="955" max="955" width="11.5714285714286"/>
    <col min="956" max="956" width="8.52380952380952"/>
    <col min="957" max="957" width="11.5714285714286"/>
    <col min="958" max="958" width="8.52380952380952"/>
    <col min="959" max="959" width="11.5714285714286"/>
    <col min="960" max="960" width="8.52380952380952"/>
    <col min="961" max="961" width="11.5714285714286"/>
    <col min="962" max="962" width="8.52380952380952"/>
    <col min="963" max="963" width="11.5714285714286"/>
    <col min="964" max="964" width="8.52380952380952"/>
    <col min="965" max="965" width="11.5714285714286"/>
    <col min="966" max="966" width="8.52380952380952"/>
    <col min="967" max="967" width="11.5714285714286"/>
    <col min="968" max="968" width="8.52380952380952"/>
    <col min="969" max="969" width="11.5714285714286"/>
    <col min="970" max="970" width="8.52380952380952"/>
    <col min="971" max="971" width="11.5714285714286"/>
    <col min="972" max="972" width="8.52380952380952"/>
    <col min="973" max="973" width="11.5714285714286"/>
    <col min="974" max="974" width="8.52380952380952"/>
    <col min="975" max="975" width="11.5714285714286"/>
    <col min="976" max="976" width="8.52380952380952"/>
    <col min="977" max="977" width="11.5714285714286"/>
    <col min="978" max="978" width="8.52380952380952"/>
    <col min="979" max="979" width="11.5714285714286"/>
    <col min="980" max="980" width="8.52380952380952"/>
    <col min="981" max="981" width="11.5714285714286"/>
    <col min="982" max="982" width="8.52380952380952"/>
    <col min="983" max="983" width="11.5714285714286"/>
    <col min="984" max="984" width="8.52380952380952"/>
    <col min="985" max="985" width="11.5714285714286"/>
    <col min="986" max="986" width="8.52380952380952"/>
    <col min="987" max="987" width="11.5714285714286"/>
    <col min="988" max="988" width="8.52380952380952"/>
    <col min="989" max="989" width="11.5714285714286"/>
    <col min="990" max="990" width="8.52380952380952"/>
    <col min="991" max="991" width="11.5714285714286"/>
    <col min="992" max="992" width="8.52380952380952"/>
    <col min="993" max="993" width="11.5714285714286"/>
    <col min="994" max="994" width="8.52380952380952"/>
    <col min="995" max="995" width="11.5714285714286"/>
    <col min="996" max="996" width="8.52380952380952"/>
    <col min="997" max="997" width="11.5714285714286"/>
    <col min="998" max="998" width="8.52380952380952"/>
    <col min="999" max="999" width="11.5714285714286"/>
    <col min="1000" max="1000" width="8.52380952380952"/>
    <col min="1001" max="1001" width="11.5714285714286"/>
    <col min="1002" max="1002" width="8.52380952380952"/>
    <col min="1003" max="1003" width="11.5714285714286"/>
    <col min="1004" max="1004" width="8.52380952380952"/>
    <col min="1005" max="1005" width="11.5714285714286"/>
    <col min="1006" max="1006" width="8.52380952380952"/>
    <col min="1007" max="1007" width="11.5714285714286"/>
    <col min="1008" max="1008" width="8.52380952380952"/>
    <col min="1009" max="1009" width="11.5714285714286"/>
    <col min="1010" max="1010" width="8.52380952380952"/>
    <col min="1011" max="1011" width="11.5714285714286"/>
    <col min="1012" max="1012" width="8.52380952380952"/>
    <col min="1013" max="1013" width="11.5714285714286"/>
    <col min="1014" max="1014" width="8.52380952380952"/>
    <col min="1015" max="1015" width="11.5714285714286"/>
    <col min="1016" max="1016" width="8.52380952380952"/>
    <col min="1017" max="1017" width="11.5714285714286"/>
    <col min="1018" max="1018" width="8.52380952380952"/>
    <col min="1019" max="1019" width="11.5714285714286"/>
    <col min="1020" max="1020" width="8.52380952380952"/>
    <col min="1021" max="1021" width="11.5714285714286"/>
    <col min="1022" max="1022" width="8.52380952380952"/>
    <col min="1023" max="1023" width="11.5714285714286"/>
    <col min="1024" max="1024" width="8.52380952380952"/>
    <col min="1025" max="1025" width="11.5714285714286"/>
    <col min="1026" max="1026" width="8.52380952380952"/>
    <col min="1027" max="1027" width="11.5714285714286"/>
    <col min="1028" max="1028" width="8.52380952380952"/>
    <col min="1029" max="1029" width="11.5714285714286"/>
    <col min="1030" max="1030" width="8.52380952380952"/>
    <col min="1031" max="1031" width="11.5714285714286"/>
    <col min="1032" max="1032" width="8.52380952380952"/>
    <col min="1033" max="1033" width="11.5714285714286"/>
    <col min="1034" max="1034" width="8.52380952380952"/>
    <col min="1035" max="1035" width="11.5714285714286"/>
    <col min="1036" max="1036" width="8.52380952380952"/>
    <col min="1037" max="1037" width="11.5714285714286"/>
    <col min="1038" max="1038" width="8.52380952380952"/>
    <col min="1039" max="1039" width="11.5714285714286"/>
    <col min="1040" max="1040" width="8.52380952380952"/>
    <col min="1041" max="1041" width="11.5714285714286"/>
    <col min="1042" max="1042" width="8.52380952380952"/>
    <col min="1043" max="1043" width="11.5714285714286"/>
    <col min="1044" max="1044" width="8.52380952380952"/>
    <col min="1045" max="1045" width="11.5714285714286"/>
    <col min="1046" max="1046" width="8.52380952380952"/>
    <col min="1047" max="1047" width="11.5714285714286"/>
    <col min="1048" max="1048" width="8.52380952380952"/>
    <col min="1049" max="1049" width="11.5714285714286"/>
    <col min="1050" max="1050" width="8.52380952380952"/>
    <col min="1051" max="1051" width="11.5714285714286"/>
    <col min="1052" max="1052" width="8.52380952380952"/>
    <col min="1053" max="1053" width="11.5714285714286"/>
    <col min="1054" max="1054" width="8.52380952380952"/>
    <col min="1055" max="1055" width="11.5714285714286"/>
    <col min="1056" max="1056" width="8.52380952380952"/>
    <col min="1057" max="1057" width="11.5714285714286"/>
    <col min="1058" max="1058" width="8.52380952380952"/>
    <col min="1059" max="1059" width="11.5714285714286"/>
    <col min="1060" max="1060" width="8.52380952380952"/>
    <col min="1061" max="1061" width="11.5714285714286"/>
    <col min="1062" max="1062" width="8.52380952380952"/>
    <col min="1063" max="1063" width="11.5714285714286"/>
    <col min="1064" max="1064" width="8.52380952380952"/>
    <col min="1065" max="1065" width="11.5714285714286"/>
    <col min="1066" max="1066" width="8.52380952380952"/>
    <col min="1067" max="1067" width="11.5714285714286"/>
    <col min="1068" max="1068" width="8.52380952380952"/>
    <col min="1069" max="1069" width="11.5714285714286"/>
    <col min="1070" max="1070" width="8.52380952380952"/>
    <col min="1071" max="1071" width="11.5714285714286"/>
    <col min="1072" max="1072" width="8.52380952380952"/>
    <col min="1073" max="1073" width="11.5714285714286"/>
    <col min="1074" max="1074" width="8.52380952380952"/>
    <col min="1075" max="1075" width="11.5714285714286"/>
    <col min="1076" max="1076" width="8.52380952380952"/>
    <col min="1077" max="1077" width="11.5714285714286"/>
    <col min="1078" max="1078" width="8.52380952380952"/>
    <col min="1079" max="1079" width="11.5714285714286"/>
    <col min="1080" max="1080" width="8.52380952380952"/>
    <col min="1081" max="1081" width="11.5714285714286"/>
    <col min="1082" max="1082" width="8.52380952380952"/>
    <col min="1083" max="1083" width="11.5714285714286"/>
    <col min="1084" max="1084" width="8.52380952380952"/>
    <col min="1085" max="1085" width="11.5714285714286"/>
    <col min="1086" max="1086" width="8.52380952380952"/>
    <col min="1087" max="1087" width="11.5714285714286"/>
    <col min="1088" max="1088" width="8.52380952380952"/>
    <col min="1089" max="1089" width="11.5714285714286"/>
    <col min="1090" max="1090" width="8.52380952380952"/>
    <col min="1091" max="1091" width="11.5714285714286"/>
    <col min="1092" max="1092" width="8.52380952380952"/>
    <col min="1093" max="1093" width="11.5714285714286"/>
    <col min="1094" max="1094" width="8.52380952380952"/>
    <col min="1095" max="1095" width="11.5714285714286"/>
    <col min="1096" max="1096" width="8.52380952380952"/>
    <col min="1097" max="1097" width="11.5714285714286"/>
    <col min="1098" max="1098" width="8.52380952380952"/>
    <col min="1099" max="1099" width="11.5714285714286"/>
    <col min="1100" max="1100" width="8.52380952380952"/>
    <col min="1101" max="1101" width="11.5714285714286"/>
    <col min="1102" max="1102" width="8.52380952380952"/>
    <col min="1103" max="1103" width="11.5714285714286"/>
    <col min="1104" max="1104" width="8.52380952380952"/>
    <col min="1105" max="1105" width="11.5714285714286"/>
    <col min="1106" max="1106" width="8.52380952380952"/>
    <col min="1107" max="1107" width="11.5714285714286"/>
    <col min="1108" max="1108" width="8.52380952380952"/>
    <col min="1109" max="1109" width="11.5714285714286"/>
    <col min="1110" max="1110" width="8.52380952380952"/>
    <col min="1111" max="1111" width="11.5714285714286"/>
    <col min="1112" max="1112" width="8.52380952380952"/>
    <col min="1113" max="1113" width="11.5714285714286"/>
    <col min="1114" max="1114" width="8.52380952380952"/>
    <col min="1115" max="1115" width="11.5714285714286"/>
    <col min="1116" max="1116" width="8.52380952380952"/>
    <col min="1117" max="1117" width="11.5714285714286"/>
    <col min="1118" max="1118" width="8.52380952380952"/>
    <col min="1119" max="1119" width="11.5714285714286"/>
    <col min="1120" max="1120" width="8.52380952380952"/>
    <col min="1121" max="1121" width="11.5714285714286"/>
    <col min="1122" max="1122" width="8.52380952380952"/>
    <col min="1123" max="1123" width="11.5714285714286"/>
    <col min="1124" max="1124" width="8.52380952380952"/>
    <col min="1125" max="1125" width="11.5714285714286"/>
    <col min="1126" max="1126" width="8.52380952380952"/>
    <col min="1127" max="1127" width="11.5714285714286"/>
    <col min="1128" max="1128" width="8.52380952380952"/>
    <col min="1129" max="1129" width="11.5714285714286"/>
    <col min="1130" max="1130" width="8.52380952380952"/>
    <col min="1131" max="1131" width="11.5714285714286"/>
    <col min="1132" max="1132" width="8.52380952380952"/>
    <col min="1133" max="1133" width="11.5714285714286"/>
    <col min="1134" max="1134" width="8.52380952380952"/>
    <col min="1135" max="1135" width="11.5714285714286"/>
    <col min="1136" max="1136" width="8.52380952380952"/>
    <col min="1137" max="1137" width="11.5714285714286"/>
    <col min="1138" max="1138" width="8.52380952380952"/>
    <col min="1139" max="1139" width="11.5714285714286"/>
    <col min="1140" max="1140" width="8.52380952380952"/>
    <col min="1141" max="1141" width="11.5714285714286"/>
    <col min="1142" max="1142" width="8.52380952380952"/>
    <col min="1143" max="1143" width="11.5714285714286"/>
    <col min="1144" max="1144" width="8.52380952380952"/>
    <col min="1145" max="1145" width="11.5714285714286"/>
    <col min="1146" max="1146" width="8.52380952380952"/>
    <col min="1147" max="1147" width="11.5714285714286"/>
    <col min="1148" max="1148" width="8.52380952380952"/>
    <col min="1149" max="1149" width="11.5714285714286"/>
    <col min="1150" max="1150" width="8.52380952380952"/>
    <col min="1151" max="1151" width="11.5714285714286"/>
    <col min="1152" max="1152" width="8.52380952380952"/>
    <col min="1153" max="1153" width="11.5714285714286"/>
    <col min="1154" max="1154" width="8.52380952380952"/>
    <col min="1155" max="1155" width="11.5714285714286"/>
    <col min="1156" max="1156" width="8.52380952380952"/>
    <col min="1157" max="1157" width="11.5714285714286"/>
    <col min="1158" max="1158" width="8.52380952380952"/>
    <col min="1159" max="1159" width="11.5714285714286"/>
    <col min="1160" max="1160" width="8.52380952380952"/>
    <col min="1161" max="1161" width="11.5714285714286"/>
    <col min="1162" max="1162" width="8.52380952380952"/>
    <col min="1163" max="1163" width="11.5714285714286"/>
    <col min="1164" max="1164" width="8.52380952380952"/>
    <col min="1165" max="1165" width="11.5714285714286"/>
    <col min="1166" max="1166" width="8.52380952380952"/>
    <col min="1167" max="1167" width="11.5714285714286"/>
    <col min="1168" max="1168" width="8.52380952380952"/>
    <col min="1169" max="1169" width="11.5714285714286"/>
    <col min="1170" max="1170" width="8.52380952380952"/>
    <col min="1171" max="1171" width="11.5714285714286"/>
    <col min="1172" max="1172" width="8.52380952380952"/>
    <col min="1173" max="1173" width="11.5714285714286"/>
    <col min="1174" max="1174" width="8.52380952380952"/>
    <col min="1175" max="1175" width="11.5714285714286"/>
    <col min="1176" max="1176" width="8.52380952380952"/>
    <col min="1177" max="1177" width="11.5714285714286"/>
    <col min="1178" max="1178" width="8.52380952380952"/>
    <col min="1179" max="1179" width="11.5714285714286"/>
    <col min="1180" max="1180" width="8.52380952380952"/>
    <col min="1181" max="1181" width="11.5714285714286"/>
    <col min="1182" max="1182" width="8.52380952380952"/>
    <col min="1183" max="1183" width="11.5714285714286"/>
    <col min="1184" max="1184" width="8.52380952380952"/>
    <col min="1185" max="1185" width="11.5714285714286"/>
    <col min="1186" max="1186" width="8.52380952380952"/>
    <col min="1187" max="1187" width="11.5714285714286"/>
    <col min="1188" max="1188" width="8.52380952380952"/>
    <col min="1189" max="1189" width="11.5714285714286"/>
    <col min="1190" max="1190" width="8.52380952380952"/>
    <col min="1191" max="1191" width="11.5714285714286"/>
    <col min="1192" max="1192" width="8.52380952380952"/>
    <col min="1193" max="1193" width="11.5714285714286"/>
    <col min="1194" max="1194" width="8.52380952380952"/>
    <col min="1195" max="1195" width="11.5714285714286"/>
    <col min="1196" max="1196" width="8.52380952380952"/>
    <col min="1197" max="1197" width="11.5714285714286"/>
    <col min="1198" max="1198" width="8.52380952380952"/>
    <col min="1199" max="1199" width="11.5714285714286"/>
    <col min="1200" max="1200" width="8.52380952380952"/>
    <col min="1201" max="1201" width="11.5714285714286"/>
    <col min="1202" max="1202" width="8.52380952380952"/>
    <col min="1203" max="1203" width="11.5714285714286"/>
    <col min="1204" max="1204" width="8.52380952380952"/>
    <col min="1205" max="1205" width="11.5714285714286"/>
    <col min="1206" max="1206" width="8.52380952380952"/>
    <col min="1207" max="1207" width="11.5714285714286"/>
    <col min="1208" max="1208" width="8.52380952380952"/>
    <col min="1209" max="1209" width="11.5714285714286"/>
    <col min="1210" max="1210" width="8.52380952380952"/>
    <col min="1211" max="1211" width="11.5714285714286"/>
    <col min="1212" max="1212" width="8.52380952380952"/>
    <col min="1213" max="1213" width="11.5714285714286"/>
    <col min="1214" max="1214" width="8.52380952380952"/>
    <col min="1215" max="1215" width="11.5714285714286"/>
    <col min="1216" max="1216" width="8.52380952380952"/>
    <col min="1217" max="1217" width="11.5714285714286"/>
    <col min="1218" max="1218" width="8.52380952380952"/>
    <col min="1219" max="1219" width="11.5714285714286"/>
    <col min="1220" max="1220" width="8.52380952380952"/>
    <col min="1221" max="1221" width="11.5714285714286"/>
    <col min="1222" max="1222" width="8.52380952380952"/>
    <col min="1223" max="1223" width="11.5714285714286"/>
    <col min="1224" max="1224" width="8.52380952380952"/>
    <col min="1225" max="1225" width="11.5714285714286"/>
    <col min="1226" max="1226" width="8.52380952380952"/>
    <col min="1227" max="1227" width="11.5714285714286"/>
    <col min="1228" max="1228" width="8.52380952380952"/>
    <col min="1229" max="1229" width="11.5714285714286"/>
    <col min="1230" max="1230" width="8.52380952380952"/>
    <col min="1231" max="1231" width="11.5714285714286"/>
    <col min="1232" max="1232" width="8.52380952380952"/>
    <col min="1233" max="1233" width="11.5714285714286"/>
    <col min="1234" max="1234" width="8.52380952380952"/>
    <col min="1235" max="1235" width="11.5714285714286"/>
    <col min="1236" max="1236" width="8.52380952380952"/>
    <col min="1237" max="1237" width="11.5714285714286"/>
    <col min="1238" max="1238" width="8.52380952380952"/>
    <col min="1239" max="1239" width="11.5714285714286"/>
    <col min="1240" max="1240" width="8.52380952380952"/>
    <col min="1241" max="1241" width="11.5714285714286"/>
    <col min="1242" max="1242" width="8.52380952380952"/>
    <col min="1243" max="1243" width="11.5714285714286"/>
    <col min="1244" max="1244" width="8.52380952380952"/>
    <col min="1245" max="1245" width="11.5714285714286"/>
    <col min="1246" max="1246" width="8.52380952380952"/>
    <col min="1247" max="1247" width="11.5714285714286"/>
    <col min="1248" max="1248" width="8.52380952380952"/>
    <col min="1249" max="1249" width="11.5714285714286"/>
    <col min="1250" max="1250" width="8.52380952380952"/>
    <col min="1251" max="1251" width="11.5714285714286"/>
    <col min="1252" max="1252" width="8.52380952380952"/>
    <col min="1253" max="1253" width="11.5714285714286"/>
    <col min="1254" max="1254" width="8.52380952380952"/>
    <col min="1255" max="1255" width="11.5714285714286"/>
    <col min="1256" max="1256" width="8.52380952380952"/>
    <col min="1257" max="1257" width="11.5714285714286"/>
    <col min="1258" max="1258" width="8.52380952380952"/>
    <col min="1259" max="1259" width="11.5714285714286"/>
    <col min="1260" max="1260" width="8.52380952380952"/>
    <col min="1261" max="1261" width="11.5714285714286"/>
    <col min="1262" max="1262" width="8.52380952380952"/>
    <col min="1263" max="1263" width="11.5714285714286"/>
    <col min="1264" max="1264" width="8.52380952380952"/>
    <col min="1265" max="1265" width="11.5714285714286"/>
    <col min="1266" max="1266" width="8.52380952380952"/>
    <col min="1267" max="1267" width="11.5714285714286"/>
    <col min="1268" max="1268" width="8.52380952380952"/>
    <col min="1269" max="1269" width="11.5714285714286"/>
    <col min="1270" max="1270" width="8.52380952380952"/>
    <col min="1271" max="1271" width="11.5714285714286"/>
    <col min="1272" max="1272" width="8.52380952380952"/>
    <col min="1273" max="1273" width="11.5714285714286"/>
    <col min="1274" max="1274" width="8.52380952380952"/>
    <col min="1275" max="1275" width="11.5714285714286"/>
    <col min="1276" max="1276" width="8.52380952380952"/>
    <col min="1277" max="1277" width="11.5714285714286"/>
    <col min="1278" max="1278" width="8.52380952380952"/>
    <col min="1279" max="1279" width="11.5714285714286"/>
    <col min="1280" max="1280" width="8.52380952380952"/>
    <col min="1281" max="1281" width="11.5714285714286"/>
    <col min="1282" max="1282" width="8.52380952380952"/>
    <col min="1283" max="1283" width="11.5714285714286"/>
    <col min="1284" max="1284" width="8.52380952380952"/>
    <col min="1285" max="1285" width="11.5714285714286"/>
    <col min="1286" max="1286" width="8.52380952380952"/>
    <col min="1287" max="1287" width="11.5714285714286"/>
    <col min="1288" max="1288" width="8.52380952380952"/>
    <col min="1289" max="1289" width="11.5714285714286"/>
    <col min="1290" max="1290" width="8.52380952380952"/>
    <col min="1291" max="1291" width="11.5714285714286"/>
    <col min="1292" max="1292" width="8.52380952380952"/>
    <col min="1293" max="1293" width="11.5714285714286"/>
    <col min="1294" max="1294" width="8.52380952380952"/>
    <col min="1295" max="1295" width="11.5714285714286"/>
    <col min="1296" max="1296" width="8.52380952380952"/>
    <col min="1297" max="1297" width="11.5714285714286"/>
    <col min="1298" max="1298" width="8.52380952380952"/>
    <col min="1299" max="1299" width="11.5714285714286"/>
    <col min="1300" max="1300" width="8.52380952380952"/>
    <col min="1301" max="1301" width="11.5714285714286"/>
    <col min="1302" max="1302" width="8.52380952380952"/>
    <col min="1303" max="1303" width="11.5714285714286"/>
    <col min="1304" max="1304" width="8.52380952380952"/>
    <col min="1305" max="1305" width="11.5714285714286"/>
    <col min="1306" max="1306" width="8.52380952380952"/>
    <col min="1307" max="1307" width="11.5714285714286"/>
    <col min="1308" max="1308" width="8.52380952380952"/>
    <col min="1309" max="1309" width="11.5714285714286"/>
    <col min="1310" max="1310" width="8.52380952380952"/>
    <col min="1311" max="1311" width="11.5714285714286"/>
    <col min="1312" max="1312" width="8.52380952380952"/>
    <col min="1313" max="1313" width="11.5714285714286"/>
    <col min="1314" max="1314" width="8.52380952380952"/>
    <col min="1315" max="1315" width="11.5714285714286"/>
    <col min="1316" max="1316" width="8.52380952380952"/>
    <col min="1317" max="1317" width="11.5714285714286"/>
    <col min="1318" max="1318" width="8.52380952380952"/>
    <col min="1319" max="1319" width="11.5714285714286"/>
    <col min="1320" max="1320" width="8.52380952380952"/>
    <col min="1321" max="1321" width="11.5714285714286"/>
    <col min="1322" max="1322" width="8.52380952380952"/>
    <col min="1323" max="1323" width="11.5714285714286"/>
    <col min="1324" max="1324" width="8.52380952380952"/>
    <col min="1325" max="1325" width="11.5714285714286"/>
    <col min="1326" max="1326" width="8.52380952380952"/>
    <col min="1327" max="1327" width="11.5714285714286"/>
    <col min="1328" max="1328" width="8.52380952380952"/>
    <col min="1329" max="1329" width="11.5714285714286"/>
    <col min="1330" max="1330" width="8.52380952380952"/>
    <col min="1331" max="1331" width="11.5714285714286"/>
    <col min="1332" max="1332" width="8.52380952380952"/>
    <col min="1333" max="1333" width="11.5714285714286"/>
    <col min="1334" max="1334" width="8.52380952380952"/>
    <col min="1335" max="1335" width="11.5714285714286"/>
    <col min="1336" max="1336" width="8.52380952380952"/>
    <col min="1337" max="1337" width="11.5714285714286"/>
    <col min="1338" max="1338" width="8.52380952380952"/>
    <col min="1339" max="1339" width="11.5714285714286"/>
    <col min="1340" max="1340" width="8.52380952380952"/>
    <col min="1341" max="1341" width="11.5714285714286"/>
    <col min="1342" max="1342" width="8.52380952380952"/>
    <col min="1343" max="1343" width="11.5714285714286"/>
    <col min="1344" max="1344" width="8.52380952380952"/>
    <col min="1345" max="1345" width="11.5714285714286"/>
    <col min="1346" max="1346" width="8.52380952380952"/>
    <col min="1347" max="1347" width="11.5714285714286"/>
    <col min="1348" max="1348" width="8.52380952380952"/>
    <col min="1349" max="1349" width="11.5714285714286"/>
    <col min="1350" max="1350" width="8.52380952380952"/>
    <col min="1351" max="1351" width="11.5714285714286"/>
    <col min="1352" max="1352" width="8.52380952380952"/>
    <col min="1353" max="1353" width="11.5714285714286"/>
    <col min="1354" max="1354" width="8.52380952380952"/>
    <col min="1355" max="1355" width="11.5714285714286"/>
    <col min="1356" max="1356" width="8.52380952380952"/>
    <col min="1357" max="1357" width="11.5714285714286"/>
    <col min="1358" max="1358" width="8.52380952380952"/>
    <col min="1359" max="1359" width="11.5714285714286"/>
    <col min="1360" max="1360" width="8.52380952380952"/>
    <col min="1361" max="1361" width="11.5714285714286"/>
    <col min="1362" max="1362" width="8.52380952380952"/>
    <col min="1363" max="1363" width="11.5714285714286"/>
    <col min="1364" max="1364" width="8.52380952380952"/>
    <col min="1365" max="1365" width="11.5714285714286"/>
    <col min="1366" max="1366" width="8.52380952380952"/>
    <col min="1367" max="1367" width="11.5714285714286"/>
    <col min="1368" max="1368" width="8.52380952380952"/>
    <col min="1369" max="1369" width="11.5714285714286"/>
    <col min="1370" max="1370" width="8.52380952380952"/>
    <col min="1371" max="1371" width="11.5714285714286"/>
    <col min="1372" max="1372" width="8.52380952380952"/>
    <col min="1373" max="1373" width="11.5714285714286"/>
    <col min="1374" max="1374" width="8.52380952380952"/>
    <col min="1375" max="1375" width="11.5714285714286"/>
    <col min="1376" max="1376" width="8.52380952380952"/>
    <col min="1377" max="1377" width="11.5714285714286"/>
    <col min="1378" max="1378" width="8.52380952380952"/>
    <col min="1379" max="1379" width="11.5714285714286"/>
    <col min="1380" max="1380" width="8.52380952380952"/>
    <col min="1381" max="1381" width="11.5714285714286"/>
    <col min="1382" max="1382" width="8.52380952380952"/>
    <col min="1383" max="1383" width="11.5714285714286"/>
    <col min="1384" max="1384" width="8.52380952380952"/>
    <col min="1385" max="1385" width="11.5714285714286"/>
    <col min="1386" max="1386" width="8.52380952380952"/>
    <col min="1387" max="1387" width="11.5714285714286"/>
    <col min="1388" max="1388" width="8.52380952380952"/>
    <col min="1389" max="1389" width="11.5714285714286"/>
    <col min="1390" max="1390" width="8.52380952380952"/>
    <col min="1391" max="1391" width="11.5714285714286"/>
    <col min="1392" max="1392" width="8.52380952380952"/>
    <col min="1393" max="1393" width="11.5714285714286"/>
    <col min="1394" max="1394" width="8.52380952380952"/>
    <col min="1395" max="1395" width="11.5714285714286"/>
    <col min="1396" max="1396" width="8.52380952380952"/>
    <col min="1397" max="1397" width="11.5714285714286"/>
    <col min="1398" max="1398" width="8.52380952380952"/>
    <col min="1399" max="1399" width="11.5714285714286"/>
    <col min="1400" max="1400" width="8.52380952380952"/>
    <col min="1401" max="1401" width="11.5714285714286"/>
    <col min="1402" max="1402" width="8.52380952380952"/>
    <col min="1403" max="1403" width="11.5714285714286"/>
    <col min="1404" max="1404" width="8.52380952380952"/>
    <col min="1405" max="1405" width="11.5714285714286"/>
    <col min="1406" max="1406" width="8.52380952380952"/>
    <col min="1407" max="1407" width="11.5714285714286"/>
    <col min="1408" max="1408" width="8.52380952380952"/>
    <col min="1409" max="1409" width="11.5714285714286"/>
    <col min="1410" max="1410" width="8.52380952380952"/>
    <col min="1411" max="1411" width="11.5714285714286"/>
    <col min="1412" max="1412" width="8.52380952380952"/>
    <col min="1413" max="1413" width="11.5714285714286"/>
    <col min="1414" max="1414" width="8.52380952380952"/>
    <col min="1415" max="1415" width="11.5714285714286"/>
    <col min="1416" max="1416" width="8.52380952380952"/>
    <col min="1417" max="1417" width="11.5714285714286"/>
    <col min="1418" max="1418" width="8.52380952380952"/>
    <col min="1419" max="1419" width="11.5714285714286"/>
    <col min="1420" max="1420" width="8.52380952380952"/>
    <col min="1421" max="1421" width="11.5714285714286"/>
    <col min="1422" max="1422" width="8.52380952380952"/>
    <col min="1423" max="1423" width="11.5714285714286"/>
    <col min="1424" max="1424" width="8.52380952380952"/>
    <col min="1425" max="1425" width="11.5714285714286"/>
    <col min="1426" max="1426" width="8.52380952380952"/>
    <col min="1427" max="1427" width="11.5714285714286"/>
    <col min="1428" max="1428" width="8.52380952380952"/>
    <col min="1429" max="1429" width="11.5714285714286"/>
    <col min="1430" max="1430" width="8.52380952380952"/>
    <col min="1431" max="1431" width="11.5714285714286"/>
    <col min="1432" max="1432" width="8.52380952380952"/>
    <col min="1433" max="1433" width="11.5714285714286"/>
    <col min="1434" max="1434" width="8.52380952380952"/>
    <col min="1435" max="1435" width="11.5714285714286"/>
    <col min="1436" max="1436" width="8.52380952380952"/>
    <col min="1437" max="1437" width="11.5714285714286"/>
    <col min="1438" max="1438" width="8.52380952380952"/>
    <col min="1439" max="1439" width="11.5714285714286"/>
    <col min="1440" max="1440" width="8.52380952380952"/>
    <col min="1441" max="1441" width="11.5714285714286"/>
    <col min="1442" max="1442" width="8.52380952380952"/>
    <col min="1443" max="1443" width="11.5714285714286"/>
    <col min="1444" max="1444" width="8.52380952380952"/>
    <col min="1445" max="1445" width="11.5714285714286"/>
    <col min="1446" max="1446" width="8.52380952380952"/>
    <col min="1447" max="1447" width="11.5714285714286"/>
    <col min="1448" max="1448" width="8.52380952380952"/>
    <col min="1449" max="1449" width="11.5714285714286"/>
    <col min="1450" max="1450" width="8.52380952380952"/>
    <col min="1451" max="1451" width="11.5714285714286"/>
    <col min="1452" max="1452" width="8.52380952380952"/>
    <col min="1453" max="1453" width="11.5714285714286"/>
    <col min="1454" max="1454" width="8.52380952380952"/>
    <col min="1455" max="1455" width="11.5714285714286"/>
    <col min="1456" max="1456" width="8.52380952380952"/>
    <col min="1457" max="1457" width="11.5714285714286"/>
    <col min="1458" max="1458" width="8.52380952380952"/>
    <col min="1459" max="1459" width="11.5714285714286"/>
    <col min="1460" max="1460" width="8.52380952380952"/>
    <col min="1461" max="1461" width="11.5714285714286"/>
    <col min="1462" max="1462" width="8.52380952380952"/>
    <col min="1463" max="1463" width="11.5714285714286"/>
    <col min="1464" max="1464" width="8.52380952380952"/>
    <col min="1465" max="1465" width="11.5714285714286"/>
    <col min="1466" max="1466" width="8.52380952380952"/>
    <col min="1467" max="1467" width="11.5714285714286"/>
    <col min="1468" max="1468" width="8.52380952380952"/>
    <col min="1469" max="1469" width="11.5714285714286"/>
    <col min="1470" max="1470" width="8.52380952380952"/>
    <col min="1471" max="1471" width="11.5714285714286"/>
    <col min="1472" max="1472" width="8.52380952380952"/>
    <col min="1473" max="1473" width="11.5714285714286"/>
    <col min="1474" max="1474" width="8.52380952380952"/>
    <col min="1475" max="1475" width="11.5714285714286"/>
    <col min="1476" max="1476" width="8.52380952380952"/>
    <col min="1477" max="1477" width="11.5714285714286"/>
    <col min="1478" max="1478" width="8.52380952380952"/>
    <col min="1479" max="1479" width="11.5714285714286"/>
    <col min="1480" max="1480" width="8.52380952380952"/>
    <col min="1481" max="1481" width="11.5714285714286"/>
    <col min="1482" max="1482" width="8.52380952380952"/>
    <col min="1483" max="1483" width="11.5714285714286"/>
    <col min="1484" max="1484" width="8.52380952380952"/>
    <col min="1485" max="1485" width="11.5714285714286"/>
    <col min="1486" max="1486" width="8.52380952380952"/>
    <col min="1487" max="1487" width="11.5714285714286"/>
    <col min="1488" max="1488" width="8.52380952380952"/>
    <col min="1489" max="1489" width="11.5714285714286"/>
    <col min="1490" max="1490" width="8.52380952380952"/>
    <col min="1491" max="1491" width="11.5714285714286"/>
    <col min="1492" max="1492" width="8.52380952380952"/>
    <col min="1493" max="1493" width="11.5714285714286"/>
    <col min="1494" max="1494" width="8.52380952380952"/>
    <col min="1495" max="1495" width="11.5714285714286"/>
    <col min="1496" max="1496" width="8.52380952380952"/>
    <col min="1497" max="1497" width="11.5714285714286"/>
    <col min="1498" max="1498" width="8.52380952380952"/>
    <col min="1499" max="1499" width="11.5714285714286"/>
    <col min="1500" max="1500" width="8.52380952380952"/>
    <col min="1501" max="1501" width="11.5714285714286"/>
    <col min="1502" max="1502" width="8.52380952380952"/>
    <col min="1503" max="1503" width="11.5714285714286"/>
    <col min="1504" max="1504" width="8.52380952380952"/>
    <col min="1505" max="1505" width="11.5714285714286"/>
    <col min="1506" max="1506" width="8.52380952380952"/>
    <col min="1507" max="1507" width="11.5714285714286"/>
    <col min="1508" max="1508" width="8.52380952380952"/>
    <col min="1509" max="1509" width="11.5714285714286"/>
    <col min="1510" max="1510" width="8.52380952380952"/>
    <col min="1511" max="1511" width="11.5714285714286"/>
    <col min="1512" max="1512" width="8.52380952380952"/>
    <col min="1513" max="1513" width="11.5714285714286"/>
    <col min="1514" max="1514" width="8.52380952380952"/>
    <col min="1515" max="1515" width="11.5714285714286"/>
    <col min="1516" max="1516" width="8.52380952380952"/>
    <col min="1517" max="1517" width="11.5714285714286"/>
    <col min="1518" max="1518" width="8.52380952380952"/>
    <col min="1519" max="1519" width="11.5714285714286"/>
    <col min="1520" max="1520" width="8.52380952380952"/>
    <col min="1521" max="1521" width="11.5714285714286"/>
    <col min="1522" max="1522" width="8.52380952380952"/>
    <col min="1523" max="1523" width="11.5714285714286"/>
    <col min="1524" max="1524" width="8.52380952380952"/>
    <col min="1525" max="1525" width="11.5714285714286"/>
    <col min="1526" max="1526" width="8.52380952380952"/>
    <col min="1527" max="1527" width="11.5714285714286"/>
    <col min="1528" max="1528" width="8.52380952380952"/>
    <col min="1529" max="1529" width="11.5714285714286"/>
    <col min="1530" max="1530" width="8.52380952380952"/>
    <col min="1531" max="1531" width="11.5714285714286"/>
    <col min="1532" max="1532" width="8.52380952380952"/>
    <col min="1533" max="1533" width="11.5714285714286"/>
    <col min="1534" max="1534" width="8.52380952380952"/>
    <col min="1535" max="1535" width="11.5714285714286"/>
    <col min="1536" max="1536" width="8.52380952380952"/>
    <col min="1537" max="1537" width="11.5714285714286"/>
    <col min="1538" max="1538" width="8.52380952380952"/>
    <col min="1539" max="1539" width="11.5714285714286"/>
    <col min="1540" max="1540" width="8.52380952380952"/>
    <col min="1541" max="1541" width="11.5714285714286"/>
    <col min="1542" max="1542" width="8.52380952380952"/>
    <col min="1543" max="1543" width="11.5714285714286"/>
    <col min="1544" max="1544" width="8.52380952380952"/>
    <col min="1545" max="1545" width="11.5714285714286"/>
    <col min="1546" max="1546" width="8.52380952380952"/>
    <col min="1547" max="1547" width="11.5714285714286"/>
    <col min="1548" max="1548" width="8.52380952380952"/>
    <col min="1549" max="1549" width="11.5714285714286"/>
    <col min="1550" max="1550" width="8.52380952380952"/>
    <col min="1551" max="1551" width="11.5714285714286"/>
    <col min="1552" max="1552" width="8.52380952380952"/>
    <col min="1553" max="1553" width="11.5714285714286"/>
    <col min="1554" max="1554" width="8.52380952380952"/>
    <col min="1555" max="1555" width="11.5714285714286"/>
    <col min="1556" max="1556" width="8.52380952380952"/>
    <col min="1557" max="1557" width="11.5714285714286"/>
    <col min="1558" max="1558" width="8.52380952380952"/>
    <col min="1559" max="1559" width="11.5714285714286"/>
    <col min="1560" max="1560" width="8.52380952380952"/>
    <col min="1561" max="1561" width="11.5714285714286"/>
    <col min="1562" max="1562" width="8.52380952380952"/>
    <col min="1563" max="1563" width="11.5714285714286"/>
    <col min="1564" max="1564" width="8.52380952380952"/>
    <col min="1565" max="1565" width="11.5714285714286"/>
    <col min="1566" max="1566" width="8.52380952380952"/>
    <col min="1567" max="1567" width="11.5714285714286"/>
    <col min="1568" max="1568" width="8.52380952380952"/>
    <col min="1569" max="1569" width="11.5714285714286"/>
    <col min="1570" max="1570" width="8.52380952380952"/>
    <col min="1571" max="1571" width="11.5714285714286"/>
    <col min="1572" max="1572" width="8.52380952380952"/>
    <col min="1573" max="1573" width="11.5714285714286"/>
    <col min="1574" max="1574" width="8.52380952380952"/>
    <col min="1575" max="1575" width="11.5714285714286"/>
    <col min="1576" max="1576" width="8.52380952380952"/>
    <col min="1577" max="1577" width="11.5714285714286"/>
    <col min="1578" max="1578" width="8.52380952380952"/>
    <col min="1579" max="1579" width="11.5714285714286"/>
    <col min="1580" max="1580" width="8.52380952380952"/>
    <col min="1581" max="1581" width="11.5714285714286"/>
    <col min="1582" max="1582" width="8.52380952380952"/>
    <col min="1583" max="1583" width="11.5714285714286"/>
    <col min="1584" max="1584" width="8.52380952380952"/>
    <col min="1585" max="1585" width="11.5714285714286"/>
    <col min="1586" max="1586" width="8.52380952380952"/>
    <col min="1587" max="1587" width="11.5714285714286"/>
    <col min="1588" max="1588" width="8.52380952380952"/>
    <col min="1589" max="1589" width="11.5714285714286"/>
    <col min="1590" max="1590" width="8.52380952380952"/>
    <col min="1591" max="1591" width="11.5714285714286"/>
    <col min="1592" max="1592" width="8.52380952380952"/>
    <col min="1593" max="1593" width="11.5714285714286"/>
    <col min="1594" max="1594" width="8.52380952380952"/>
    <col min="1595" max="1595" width="11.5714285714286"/>
    <col min="1596" max="1596" width="8.52380952380952"/>
    <col min="1597" max="1597" width="11.5714285714286"/>
    <col min="1598" max="1598" width="8.52380952380952"/>
    <col min="1599" max="1599" width="11.5714285714286"/>
    <col min="1600" max="1600" width="8.52380952380952"/>
    <col min="1601" max="1601" width="11.5714285714286"/>
    <col min="1602" max="1602" width="8.52380952380952"/>
    <col min="1603" max="1603" width="11.5714285714286"/>
    <col min="1604" max="1604" width="8.52380952380952"/>
    <col min="1605" max="1605" width="11.5714285714286"/>
    <col min="1606" max="1606" width="8.52380952380952"/>
    <col min="1607" max="1607" width="11.5714285714286"/>
    <col min="1608" max="1608" width="8.52380952380952"/>
    <col min="1609" max="1609" width="11.5714285714286"/>
    <col min="1610" max="1610" width="8.52380952380952"/>
    <col min="1611" max="1611" width="11.5714285714286"/>
    <col min="1612" max="1612" width="8.52380952380952"/>
    <col min="1613" max="1613" width="11.5714285714286"/>
    <col min="1614" max="1614" width="8.52380952380952"/>
    <col min="1615" max="1615" width="11.5714285714286"/>
    <col min="1616" max="1616" width="8.52380952380952"/>
    <col min="1617" max="1617" width="11.5714285714286"/>
    <col min="1618" max="1618" width="8.52380952380952"/>
    <col min="1619" max="1619" width="11.5714285714286"/>
    <col min="1620" max="1620" width="8.52380952380952"/>
    <col min="1621" max="1621" width="11.5714285714286"/>
    <col min="1622" max="1622" width="8.52380952380952"/>
    <col min="1623" max="1623" width="11.5714285714286"/>
    <col min="1624" max="1624" width="8.52380952380952"/>
    <col min="1625" max="1625" width="11.5714285714286"/>
    <col min="1626" max="1626" width="8.52380952380952"/>
    <col min="1627" max="1627" width="11.5714285714286"/>
    <col min="1628" max="1628" width="8.52380952380952"/>
    <col min="1629" max="1629" width="11.5714285714286"/>
    <col min="1630" max="1630" width="8.52380952380952"/>
    <col min="1631" max="1631" width="11.5714285714286"/>
    <col min="1632" max="1632" width="8.52380952380952"/>
    <col min="1633" max="1633" width="11.5714285714286"/>
    <col min="1634" max="1634" width="8.52380952380952"/>
    <col min="1635" max="1635" width="11.5714285714286"/>
    <col min="1636" max="1636" width="8.52380952380952"/>
    <col min="1637" max="1637" width="11.5714285714286"/>
    <col min="1638" max="1638" width="8.52380952380952"/>
    <col min="1639" max="1639" width="11.5714285714286"/>
    <col min="1640" max="1640" width="8.52380952380952"/>
    <col min="1641" max="1641" width="11.5714285714286"/>
    <col min="1642" max="1642" width="8.52380952380952"/>
    <col min="1643" max="1643" width="11.5714285714286"/>
    <col min="1644" max="1644" width="8.52380952380952"/>
    <col min="1645" max="1645" width="11.5714285714286"/>
    <col min="1646" max="1646" width="8.52380952380952"/>
    <col min="1647" max="1647" width="11.5714285714286"/>
    <col min="1648" max="1648" width="8.52380952380952"/>
    <col min="1649" max="1649" width="11.5714285714286"/>
    <col min="1650" max="1650" width="8.52380952380952"/>
    <col min="1651" max="1651" width="11.5714285714286"/>
    <col min="1652" max="1652" width="8.52380952380952"/>
    <col min="1653" max="1653" width="11.5714285714286"/>
    <col min="1654" max="1654" width="8.52380952380952"/>
    <col min="1655" max="1655" width="11.5714285714286"/>
    <col min="1656" max="1656" width="8.52380952380952"/>
    <col min="1657" max="1657" width="11.5714285714286"/>
    <col min="1658" max="1658" width="8.52380952380952"/>
    <col min="1659" max="1659" width="11.5714285714286"/>
    <col min="1660" max="1660" width="8.52380952380952"/>
    <col min="1661" max="1661" width="11.5714285714286"/>
    <col min="1662" max="1662" width="8.52380952380952"/>
    <col min="1663" max="1663" width="11.5714285714286"/>
    <col min="1664" max="1664" width="8.52380952380952"/>
    <col min="1665" max="1665" width="11.5714285714286"/>
    <col min="1666" max="1666" width="8.52380952380952"/>
    <col min="1667" max="1667" width="11.5714285714286"/>
    <col min="1668" max="1668" width="8.52380952380952"/>
    <col min="1669" max="1669" width="11.5714285714286"/>
    <col min="1670" max="1670" width="8.52380952380952"/>
    <col min="1671" max="1671" width="11.5714285714286"/>
    <col min="1672" max="1672" width="8.52380952380952"/>
    <col min="1673" max="1673" width="11.5714285714286"/>
    <col min="1674" max="1674" width="8.52380952380952"/>
    <col min="1675" max="1675" width="11.5714285714286"/>
    <col min="1676" max="1676" width="8.52380952380952"/>
    <col min="1677" max="1677" width="11.5714285714286"/>
    <col min="1678" max="1678" width="8.52380952380952"/>
    <col min="1679" max="1679" width="11.5714285714286"/>
    <col min="1680" max="1680" width="8.52380952380952"/>
    <col min="1681" max="1681" width="11.5714285714286"/>
    <col min="1682" max="1682" width="8.52380952380952"/>
    <col min="1683" max="1683" width="11.5714285714286"/>
    <col min="1684" max="1684" width="8.52380952380952"/>
    <col min="1685" max="1685" width="11.5714285714286"/>
    <col min="1686" max="1686" width="8.52380952380952"/>
    <col min="1687" max="1687" width="11.5714285714286"/>
    <col min="1688" max="1688" width="8.52380952380952"/>
    <col min="1689" max="1689" width="11.5714285714286"/>
    <col min="1690" max="1690" width="8.52380952380952"/>
    <col min="1691" max="1691" width="11.5714285714286"/>
    <col min="1692" max="1692" width="8.52380952380952"/>
    <col min="1693" max="1693" width="11.5714285714286"/>
    <col min="1694" max="1694" width="8.52380952380952"/>
    <col min="1695" max="1695" width="11.5714285714286"/>
    <col min="1696" max="1696" width="8.52380952380952"/>
    <col min="1697" max="1697" width="11.5714285714286"/>
    <col min="1698" max="1698" width="8.52380952380952"/>
    <col min="1699" max="1699" width="11.5714285714286"/>
    <col min="1700" max="1700" width="8.52380952380952"/>
    <col min="1701" max="1701" width="11.5714285714286"/>
    <col min="1702" max="1702" width="8.52380952380952"/>
    <col min="1703" max="1703" width="11.5714285714286"/>
    <col min="1704" max="1704" width="8.52380952380952"/>
    <col min="1705" max="1705" width="11.5714285714286"/>
    <col min="1706" max="1706" width="8.52380952380952"/>
    <col min="1707" max="1707" width="11.5714285714286"/>
    <col min="1708" max="1708" width="8.52380952380952"/>
    <col min="1709" max="1709" width="11.5714285714286"/>
    <col min="1710" max="1710" width="8.52380952380952"/>
    <col min="1711" max="1711" width="11.5714285714286"/>
    <col min="1712" max="1712" width="8.52380952380952"/>
    <col min="1713" max="1713" width="11.5714285714286"/>
    <col min="1714" max="1714" width="8.52380952380952"/>
    <col min="1715" max="1715" width="11.5714285714286"/>
    <col min="1716" max="1716" width="8.52380952380952"/>
    <col min="1717" max="1717" width="11.5714285714286"/>
    <col min="1718" max="1718" width="8.52380952380952"/>
    <col min="1719" max="1719" width="11.5714285714286"/>
    <col min="1720" max="1720" width="8.52380952380952"/>
    <col min="1721" max="1721" width="11.5714285714286"/>
    <col min="1722" max="1722" width="8.52380952380952"/>
    <col min="1723" max="1723" width="11.5714285714286"/>
    <col min="1724" max="1724" width="8.52380952380952"/>
    <col min="1725" max="1725" width="11.5714285714286"/>
    <col min="1726" max="1726" width="8.52380952380952"/>
    <col min="1727" max="1727" width="11.5714285714286"/>
    <col min="1728" max="1728" width="8.52380952380952"/>
    <col min="1729" max="1729" width="11.5714285714286"/>
    <col min="1730" max="1730" width="8.52380952380952"/>
    <col min="1731" max="1731" width="11.5714285714286"/>
    <col min="1732" max="1732" width="8.52380952380952"/>
    <col min="1733" max="1733" width="11.5714285714286"/>
    <col min="1734" max="1734" width="8.52380952380952"/>
    <col min="1735" max="1735" width="11.5714285714286"/>
    <col min="1736" max="1736" width="8.52380952380952"/>
    <col min="1737" max="1737" width="11.5714285714286"/>
    <col min="1738" max="1738" width="8.52380952380952"/>
    <col min="1739" max="1739" width="11.5714285714286"/>
    <col min="1740" max="1740" width="8.52380952380952"/>
    <col min="1741" max="1741" width="11.5714285714286"/>
    <col min="1742" max="1742" width="8.52380952380952"/>
    <col min="1743" max="1743" width="11.5714285714286"/>
    <col min="1744" max="1744" width="8.52380952380952"/>
    <col min="1745" max="1745" width="11.5714285714286"/>
    <col min="1746" max="1746" width="8.52380952380952"/>
    <col min="1747" max="1747" width="11.5714285714286"/>
    <col min="1748" max="1748" width="8.52380952380952"/>
    <col min="1749" max="1749" width="11.5714285714286"/>
    <col min="1750" max="1750" width="8.52380952380952"/>
    <col min="1751" max="1751" width="11.5714285714286"/>
    <col min="1752" max="1752" width="8.52380952380952"/>
    <col min="1753" max="1753" width="11.5714285714286"/>
    <col min="1754" max="1754" width="8.52380952380952"/>
    <col min="1755" max="1755" width="11.5714285714286"/>
    <col min="1756" max="1756" width="8.52380952380952"/>
    <col min="1757" max="1757" width="11.5714285714286"/>
    <col min="1758" max="1758" width="8.52380952380952"/>
    <col min="1759" max="1759" width="11.5714285714286"/>
    <col min="1760" max="1760" width="8.52380952380952"/>
    <col min="1761" max="1761" width="11.5714285714286"/>
    <col min="1762" max="1762" width="8.52380952380952"/>
    <col min="1763" max="1763" width="11.5714285714286"/>
    <col min="1764" max="1764" width="8.52380952380952"/>
    <col min="1765" max="1765" width="11.5714285714286"/>
    <col min="1766" max="1766" width="8.52380952380952"/>
    <col min="1767" max="1767" width="11.5714285714286"/>
    <col min="1768" max="1768" width="8.52380952380952"/>
    <col min="1769" max="1769" width="11.5714285714286"/>
    <col min="1770" max="1770" width="8.52380952380952"/>
    <col min="1771" max="1771" width="11.5714285714286"/>
    <col min="1772" max="1772" width="8.52380952380952"/>
    <col min="1773" max="1773" width="11.5714285714286"/>
    <col min="1774" max="1774" width="8.52380952380952"/>
    <col min="1775" max="1775" width="11.5714285714286"/>
    <col min="1776" max="1776" width="8.52380952380952"/>
    <col min="1777" max="1777" width="11.5714285714286"/>
    <col min="1778" max="1778" width="8.52380952380952"/>
    <col min="1779" max="1779" width="11.5714285714286"/>
    <col min="1780" max="1780" width="8.52380952380952"/>
    <col min="1781" max="1781" width="11.5714285714286"/>
    <col min="1782" max="1782" width="8.52380952380952"/>
    <col min="1783" max="1783" width="11.5714285714286"/>
    <col min="1784" max="1784" width="8.52380952380952"/>
    <col min="1785" max="1785" width="11.5714285714286"/>
    <col min="1786" max="1786" width="8.52380952380952"/>
    <col min="1787" max="1787" width="11.5714285714286"/>
    <col min="1788" max="1788" width="8.52380952380952"/>
    <col min="1789" max="1789" width="11.5714285714286"/>
    <col min="1790" max="1790" width="8.52380952380952"/>
    <col min="1791" max="1791" width="11.5714285714286"/>
    <col min="1792" max="1792" width="8.52380952380952"/>
    <col min="1793" max="1793" width="11.5714285714286"/>
    <col min="1794" max="1794" width="8.52380952380952"/>
    <col min="1795" max="1795" width="11.5714285714286"/>
    <col min="1796" max="1796" width="8.52380952380952"/>
    <col min="1797" max="1797" width="11.5714285714286"/>
    <col min="1798" max="1798" width="8.52380952380952"/>
    <col min="1799" max="1799" width="11.5714285714286"/>
    <col min="1800" max="1800" width="8.52380952380952"/>
    <col min="1801" max="1801" width="11.5714285714286"/>
    <col min="1802" max="1802" width="8.52380952380952"/>
    <col min="1803" max="1803" width="11.5714285714286"/>
    <col min="1804" max="1804" width="8.52380952380952"/>
    <col min="1805" max="1805" width="11.5714285714286"/>
    <col min="1806" max="1806" width="8.52380952380952"/>
    <col min="1807" max="1807" width="11.5714285714286"/>
    <col min="1808" max="1808" width="8.52380952380952"/>
    <col min="1809" max="1809" width="11.5714285714286"/>
    <col min="1810" max="1810" width="8.52380952380952"/>
    <col min="1811" max="1811" width="11.5714285714286"/>
    <col min="1812" max="1812" width="8.52380952380952"/>
    <col min="1813" max="1813" width="11.5714285714286"/>
    <col min="1814" max="1814" width="8.52380952380952"/>
    <col min="1815" max="1815" width="11.5714285714286"/>
    <col min="1816" max="1816" width="8.52380952380952"/>
    <col min="1817" max="1817" width="11.5714285714286"/>
    <col min="1818" max="1818" width="8.52380952380952"/>
    <col min="1819" max="1819" width="11.5714285714286"/>
    <col min="1820" max="1820" width="8.52380952380952"/>
    <col min="1821" max="1821" width="11.5714285714286"/>
    <col min="1822" max="1822" width="8.52380952380952"/>
    <col min="1823" max="1823" width="11.5714285714286"/>
    <col min="1824" max="1824" width="8.52380952380952"/>
    <col min="1825" max="1825" width="11.5714285714286"/>
    <col min="1826" max="1826" width="8.52380952380952"/>
    <col min="1827" max="1827" width="11.5714285714286"/>
    <col min="1828" max="1828" width="8.52380952380952"/>
    <col min="1829" max="1829" width="11.5714285714286"/>
    <col min="1830" max="1830" width="8.52380952380952"/>
    <col min="1831" max="1831" width="11.5714285714286"/>
    <col min="1832" max="1832" width="8.52380952380952"/>
    <col min="1833" max="1833" width="11.5714285714286"/>
    <col min="1834" max="1834" width="8.52380952380952"/>
    <col min="1835" max="1835" width="11.5714285714286"/>
    <col min="1836" max="1836" width="8.52380952380952"/>
    <col min="1837" max="1837" width="11.5714285714286"/>
    <col min="1838" max="1838" width="8.52380952380952"/>
    <col min="1839" max="1839" width="11.5714285714286"/>
    <col min="1840" max="1840" width="8.52380952380952"/>
    <col min="1841" max="1841" width="11.5714285714286"/>
    <col min="1842" max="1842" width="8.52380952380952"/>
    <col min="1843" max="1843" width="11.5714285714286"/>
    <col min="1844" max="1844" width="8.52380952380952"/>
    <col min="1845" max="1845" width="11.5714285714286"/>
    <col min="1846" max="1846" width="8.52380952380952"/>
    <col min="1847" max="1847" width="11.5714285714286"/>
    <col min="1848" max="1848" width="8.52380952380952"/>
    <col min="1849" max="1849" width="11.5714285714286"/>
    <col min="1850" max="1850" width="8.52380952380952"/>
    <col min="1851" max="1851" width="11.5714285714286"/>
    <col min="1852" max="1852" width="8.52380952380952"/>
    <col min="1853" max="1853" width="11.5714285714286"/>
    <col min="1854" max="1854" width="8.52380952380952"/>
    <col min="1855" max="1855" width="11.5714285714286"/>
    <col min="1856" max="1856" width="8.52380952380952"/>
    <col min="1857" max="1857" width="11.5714285714286"/>
    <col min="1858" max="1858" width="8.52380952380952"/>
    <col min="1859" max="1859" width="11.5714285714286"/>
    <col min="1860" max="1860" width="8.52380952380952"/>
    <col min="1861" max="1861" width="11.5714285714286"/>
    <col min="1862" max="1862" width="8.52380952380952"/>
    <col min="1863" max="1863" width="11.5714285714286"/>
    <col min="1864" max="1864" width="8.52380952380952"/>
    <col min="1865" max="1865" width="11.5714285714286"/>
    <col min="1866" max="1866" width="8.52380952380952"/>
    <col min="1867" max="1867" width="11.5714285714286"/>
    <col min="1868" max="1868" width="8.52380952380952"/>
    <col min="1869" max="1869" width="11.5714285714286"/>
    <col min="1870" max="1870" width="8.52380952380952"/>
    <col min="1871" max="1871" width="11.5714285714286"/>
    <col min="1872" max="1872" width="8.52380952380952"/>
    <col min="1873" max="1873" width="11.5714285714286"/>
    <col min="1874" max="1874" width="8.52380952380952"/>
    <col min="1875" max="1875" width="11.5714285714286"/>
    <col min="1876" max="1876" width="8.52380952380952"/>
    <col min="1877" max="1877" width="11.5714285714286"/>
    <col min="1878" max="1878" width="8.52380952380952"/>
    <col min="1879" max="1879" width="11.5714285714286"/>
    <col min="1880" max="1880" width="8.52380952380952"/>
    <col min="1881" max="1881" width="11.5714285714286"/>
    <col min="1882" max="1882" width="8.52380952380952"/>
    <col min="1883" max="1883" width="11.5714285714286"/>
    <col min="1884" max="1884" width="8.52380952380952"/>
    <col min="1885" max="1885" width="11.5714285714286"/>
    <col min="1886" max="1886" width="8.52380952380952"/>
    <col min="1887" max="1887" width="11.5714285714286"/>
    <col min="1888" max="1888" width="8.52380952380952"/>
    <col min="1889" max="1889" width="11.5714285714286"/>
    <col min="1890" max="1890" width="8.52380952380952"/>
    <col min="1891" max="1891" width="11.5714285714286"/>
    <col min="1892" max="1892" width="8.52380952380952"/>
    <col min="1893" max="1893" width="11.5714285714286"/>
    <col min="1894" max="1894" width="8.52380952380952"/>
    <col min="1895" max="1895" width="11.5714285714286"/>
    <col min="1896" max="1896" width="8.52380952380952"/>
    <col min="1897" max="1897" width="11.5714285714286"/>
    <col min="1898" max="1898" width="8.52380952380952"/>
    <col min="1899" max="1899" width="11.5714285714286"/>
    <col min="1900" max="1900" width="8.52380952380952"/>
    <col min="1901" max="1901" width="11.5714285714286"/>
    <col min="1902" max="1902" width="8.52380952380952"/>
    <col min="1903" max="1903" width="11.5714285714286"/>
    <col min="1904" max="1904" width="8.52380952380952"/>
    <col min="1905" max="1905" width="11.5714285714286"/>
    <col min="1906" max="1906" width="8.52380952380952"/>
    <col min="1907" max="1907" width="11.5714285714286"/>
    <col min="1908" max="1908" width="8.52380952380952"/>
    <col min="1909" max="1909" width="11.5714285714286"/>
    <col min="1910" max="1910" width="8.52380952380952"/>
    <col min="1911" max="1911" width="11.5714285714286"/>
    <col min="1912" max="1912" width="8.52380952380952"/>
    <col min="1913" max="1913" width="11.5714285714286"/>
    <col min="1914" max="1914" width="8.52380952380952"/>
    <col min="1915" max="1915" width="11.5714285714286"/>
    <col min="1916" max="1916" width="8.52380952380952"/>
    <col min="1917" max="1917" width="11.5714285714286"/>
    <col min="1918" max="1918" width="8.52380952380952"/>
    <col min="1919" max="1919" width="11.5714285714286"/>
    <col min="1920" max="1920" width="8.52380952380952"/>
    <col min="1921" max="1921" width="11.5714285714286"/>
    <col min="1922" max="1922" width="8.52380952380952"/>
    <col min="1923" max="1923" width="11.5714285714286"/>
    <col min="1924" max="1924" width="8.52380952380952"/>
    <col min="1925" max="1925" width="11.5714285714286"/>
    <col min="1926" max="1926" width="8.52380952380952"/>
    <col min="1927" max="1927" width="11.5714285714286"/>
    <col min="1928" max="1928" width="8.52380952380952"/>
    <col min="1929" max="1929" width="11.5714285714286"/>
    <col min="1930" max="1930" width="8.52380952380952"/>
    <col min="1931" max="1931" width="11.5714285714286"/>
    <col min="1932" max="1932" width="8.52380952380952"/>
    <col min="1933" max="1933" width="11.5714285714286"/>
    <col min="1934" max="1934" width="8.52380952380952"/>
    <col min="1935" max="1935" width="11.5714285714286"/>
    <col min="1936" max="1936" width="8.52380952380952"/>
    <col min="1937" max="1937" width="11.5714285714286"/>
    <col min="1938" max="1938" width="8.52380952380952"/>
    <col min="1939" max="1939" width="11.5714285714286"/>
    <col min="1940" max="1940" width="8.52380952380952"/>
    <col min="1941" max="1941" width="11.5714285714286"/>
    <col min="1942" max="1942" width="8.52380952380952"/>
    <col min="1943" max="1943" width="11.5714285714286"/>
    <col min="1944" max="1944" width="8.52380952380952"/>
    <col min="1945" max="1945" width="11.5714285714286"/>
    <col min="1946" max="1946" width="8.52380952380952"/>
    <col min="1947" max="1947" width="11.5714285714286"/>
    <col min="1948" max="1948" width="8.52380952380952"/>
    <col min="1949" max="1949" width="11.5714285714286"/>
    <col min="1950" max="1950" width="8.52380952380952"/>
    <col min="1951" max="1951" width="11.5714285714286"/>
    <col min="1952" max="1952" width="8.52380952380952"/>
    <col min="1953" max="1953" width="11.5714285714286"/>
    <col min="1954" max="1954" width="8.52380952380952"/>
    <col min="1955" max="1955" width="11.5714285714286"/>
    <col min="1956" max="1956" width="8.52380952380952"/>
    <col min="1957" max="1957" width="11.5714285714286"/>
    <col min="1958" max="1958" width="8.52380952380952"/>
    <col min="1959" max="1959" width="11.5714285714286"/>
    <col min="1960" max="1960" width="8.52380952380952"/>
    <col min="1961" max="1961" width="11.5714285714286"/>
    <col min="1962" max="1962" width="8.52380952380952"/>
    <col min="1963" max="1963" width="11.5714285714286"/>
    <col min="1964" max="1964" width="8.52380952380952"/>
    <col min="1965" max="1965" width="11.5714285714286"/>
    <col min="1966" max="1966" width="8.52380952380952"/>
    <col min="1967" max="1967" width="11.5714285714286"/>
    <col min="1968" max="1968" width="8.52380952380952"/>
    <col min="1969" max="1969" width="11.5714285714286"/>
    <col min="1970" max="1970" width="8.52380952380952"/>
    <col min="1971" max="1971" width="11.5714285714286"/>
    <col min="1972" max="1972" width="8.52380952380952"/>
    <col min="1973" max="1973" width="11.5714285714286"/>
    <col min="1974" max="1974" width="8.52380952380952"/>
    <col min="1975" max="1975" width="11.5714285714286"/>
    <col min="1976" max="1976" width="8.52380952380952"/>
    <col min="1977" max="1977" width="11.5714285714286"/>
    <col min="1978" max="1978" width="8.52380952380952"/>
    <col min="1979" max="1979" width="11.5714285714286"/>
    <col min="1980" max="1980" width="8.52380952380952"/>
    <col min="1981" max="1981" width="11.5714285714286"/>
    <col min="1982" max="1982" width="8.52380952380952"/>
    <col min="1983" max="1983" width="11.5714285714286"/>
    <col min="1984" max="1984" width="8.52380952380952"/>
    <col min="1985" max="1985" width="11.5714285714286"/>
    <col min="1986" max="1986" width="8.52380952380952"/>
    <col min="1987" max="1987" width="11.5714285714286"/>
    <col min="1988" max="1988" width="8.52380952380952"/>
    <col min="1989" max="1989" width="11.5714285714286"/>
    <col min="1990" max="1990" width="8.52380952380952"/>
    <col min="1991" max="1991" width="11.5714285714286"/>
    <col min="1992" max="1992" width="8.52380952380952"/>
    <col min="1993" max="1993" width="11.5714285714286"/>
    <col min="1994" max="1994" width="8.52380952380952"/>
    <col min="1995" max="1995" width="11.5714285714286"/>
    <col min="1996" max="1996" width="8.52380952380952"/>
    <col min="1997" max="1997" width="11.5714285714286"/>
    <col min="1998" max="1998" width="8.52380952380952"/>
    <col min="1999" max="1999" width="11.5714285714286"/>
    <col min="2000" max="2000" width="8.52380952380952"/>
    <col min="2001" max="2001" width="11.5714285714286"/>
    <col min="2002" max="2002" width="8.52380952380952"/>
    <col min="2003" max="2003" width="11.5714285714286"/>
    <col min="2004" max="2004" width="8.52380952380952"/>
    <col min="2005" max="2005" width="11.5714285714286"/>
    <col min="2006" max="2006" width="8.52380952380952"/>
    <col min="2007" max="2007" width="11.5714285714286"/>
    <col min="2008" max="2008" width="8.52380952380952"/>
    <col min="2009" max="2009" width="11.5714285714286"/>
    <col min="2010" max="2010" width="8.52380952380952"/>
    <col min="2011" max="2011" width="11.5714285714286"/>
    <col min="2012" max="2012" width="8.52380952380952"/>
    <col min="2013" max="2013" width="11.5714285714286"/>
    <col min="2014" max="2014" width="8.52380952380952"/>
    <col min="2015" max="2015" width="11.5714285714286"/>
    <col min="2016" max="2016" width="8.52380952380952"/>
    <col min="2017" max="2017" width="11.5714285714286"/>
    <col min="2018" max="2018" width="8.52380952380952"/>
    <col min="2019" max="2019" width="11.5714285714286"/>
    <col min="2020" max="2020" width="8.52380952380952"/>
    <col min="2021" max="2021" width="11.5714285714286"/>
    <col min="2022" max="2022" width="8.52380952380952"/>
    <col min="2023" max="2023" width="11.5714285714286"/>
    <col min="2024" max="2024" width="8.52380952380952"/>
    <col min="2025" max="2025" width="11.5714285714286"/>
    <col min="2026" max="2026" width="8.52380952380952"/>
    <col min="2027" max="2027" width="11.5714285714286"/>
    <col min="2028" max="2028" width="8.52380952380952"/>
    <col min="2029" max="2029" width="11.5714285714286"/>
    <col min="2030" max="2030" width="8.52380952380952"/>
    <col min="2031" max="2031" width="11.5714285714286"/>
    <col min="2032" max="2032" width="8.52380952380952"/>
    <col min="2033" max="2033" width="11.5714285714286"/>
    <col min="2034" max="2034" width="8.52380952380952"/>
    <col min="2035" max="2035" width="11.5714285714286"/>
    <col min="2036" max="2036" width="8.52380952380952"/>
    <col min="2037" max="2037" width="11.5714285714286"/>
    <col min="2038" max="2038" width="8.52380952380952"/>
    <col min="2039" max="2039" width="11.5714285714286"/>
    <col min="2040" max="2040" width="8.52380952380952"/>
    <col min="2041" max="2041" width="11.5714285714286"/>
    <col min="2042" max="2042" width="8.52380952380952"/>
    <col min="2043" max="2043" width="11.5714285714286"/>
    <col min="2044" max="2044" width="8.52380952380952"/>
    <col min="2045" max="2045" width="11.5714285714286"/>
    <col min="2046" max="2046" width="8.52380952380952"/>
    <col min="2047" max="2047" width="11.5714285714286"/>
    <col min="2048" max="2048" width="8.52380952380952"/>
    <col min="2049" max="2049" width="11.5714285714286"/>
    <col min="2050" max="2050" width="8.52380952380952"/>
    <col min="2051" max="2051" width="11.5714285714286"/>
    <col min="2052" max="2052" width="8.52380952380952"/>
    <col min="2053" max="2053" width="11.5714285714286"/>
    <col min="2054" max="2054" width="8.52380952380952"/>
    <col min="2055" max="2055" width="11.5714285714286"/>
    <col min="2056" max="2056" width="8.52380952380952"/>
    <col min="2057" max="2057" width="11.5714285714286"/>
    <col min="2058" max="2058" width="8.52380952380952"/>
    <col min="2059" max="2059" width="11.5714285714286"/>
    <col min="2060" max="2060" width="8.52380952380952"/>
    <col min="2061" max="2061" width="11.5714285714286"/>
    <col min="2062" max="2062" width="8.52380952380952"/>
    <col min="2063" max="2063" width="11.5714285714286"/>
    <col min="2064" max="2064" width="8.52380952380952"/>
    <col min="2065" max="2065" width="11.5714285714286"/>
    <col min="2066" max="2066" width="8.52380952380952"/>
    <col min="2067" max="2067" width="11.5714285714286"/>
    <col min="2068" max="2068" width="8.52380952380952"/>
    <col min="2069" max="2069" width="11.5714285714286"/>
    <col min="2070" max="2070" width="8.52380952380952"/>
    <col min="2071" max="2071" width="11.5714285714286"/>
    <col min="2072" max="2072" width="8.52380952380952"/>
    <col min="2073" max="2073" width="11.5714285714286"/>
    <col min="2074" max="2074" width="8.52380952380952"/>
    <col min="2075" max="2075" width="11.5714285714286"/>
    <col min="2076" max="2076" width="8.52380952380952"/>
    <col min="2077" max="2077" width="11.5714285714286"/>
    <col min="2078" max="2078" width="8.52380952380952"/>
    <col min="2079" max="2079" width="11.5714285714286"/>
    <col min="2080" max="2080" width="8.52380952380952"/>
    <col min="2081" max="2081" width="11.5714285714286"/>
    <col min="2082" max="2082" width="8.52380952380952"/>
    <col min="2083" max="2083" width="11.5714285714286"/>
    <col min="2084" max="2084" width="8.52380952380952"/>
    <col min="2085" max="2085" width="11.5714285714286"/>
    <col min="2086" max="2086" width="8.52380952380952"/>
    <col min="2087" max="2087" width="11.5714285714286"/>
    <col min="2088" max="2088" width="8.52380952380952"/>
    <col min="2089" max="2089" width="11.5714285714286"/>
    <col min="2090" max="2090" width="8.52380952380952"/>
    <col min="2091" max="2091" width="11.5714285714286"/>
    <col min="2092" max="2092" width="8.52380952380952"/>
    <col min="2093" max="2093" width="11.5714285714286"/>
    <col min="2094" max="2094" width="8.52380952380952"/>
    <col min="2095" max="2095" width="11.5714285714286"/>
    <col min="2096" max="2096" width="8.52380952380952"/>
    <col min="2097" max="2097" width="11.5714285714286"/>
    <col min="2098" max="2098" width="8.52380952380952"/>
    <col min="2099" max="2099" width="11.5714285714286"/>
    <col min="2100" max="2100" width="8.52380952380952"/>
    <col min="2101" max="2101" width="11.5714285714286"/>
    <col min="2102" max="2102" width="8.52380952380952"/>
    <col min="2103" max="2103" width="11.5714285714286"/>
    <col min="2104" max="2104" width="8.52380952380952"/>
    <col min="2105" max="2105" width="11.5714285714286"/>
    <col min="2106" max="2106" width="8.52380952380952"/>
    <col min="2107" max="2107" width="11.5714285714286"/>
    <col min="2108" max="2108" width="8.52380952380952"/>
    <col min="2109" max="2109" width="11.5714285714286"/>
    <col min="2110" max="2110" width="8.52380952380952"/>
    <col min="2111" max="2111" width="11.5714285714286"/>
    <col min="2112" max="2112" width="8.52380952380952"/>
    <col min="2113" max="2113" width="11.5714285714286"/>
    <col min="2114" max="2114" width="8.52380952380952"/>
    <col min="2115" max="2115" width="11.5714285714286"/>
    <col min="2116" max="2116" width="8.52380952380952"/>
    <col min="2117" max="2117" width="11.5714285714286"/>
    <col min="2118" max="2118" width="8.52380952380952"/>
    <col min="2119" max="2119" width="11.5714285714286"/>
    <col min="2120" max="2120" width="8.52380952380952"/>
    <col min="2121" max="2121" width="11.5714285714286"/>
    <col min="2122" max="2122" width="8.52380952380952"/>
    <col min="2123" max="2123" width="11.5714285714286"/>
    <col min="2124" max="2124" width="8.52380952380952"/>
    <col min="2125" max="2125" width="11.5714285714286"/>
    <col min="2126" max="2126" width="8.52380952380952"/>
    <col min="2127" max="2127" width="11.5714285714286"/>
    <col min="2128" max="2128" width="8.52380952380952"/>
    <col min="2129" max="2129" width="11.5714285714286"/>
    <col min="2130" max="2130" width="8.52380952380952"/>
    <col min="2131" max="2131" width="11.5714285714286"/>
    <col min="2132" max="2132" width="8.52380952380952"/>
    <col min="2133" max="2133" width="11.5714285714286"/>
    <col min="2134" max="2134" width="8.52380952380952"/>
    <col min="2135" max="2135" width="11.5714285714286"/>
    <col min="2136" max="2136" width="8.52380952380952"/>
    <col min="2137" max="2137" width="11.5714285714286"/>
    <col min="2138" max="2138" width="8.52380952380952"/>
    <col min="2139" max="2139" width="11.5714285714286"/>
    <col min="2140" max="2140" width="8.52380952380952"/>
    <col min="2141" max="2141" width="11.5714285714286"/>
    <col min="2142" max="2142" width="8.52380952380952"/>
    <col min="2143" max="2143" width="11.5714285714286"/>
    <col min="2144" max="2144" width="8.52380952380952"/>
    <col min="2145" max="2145" width="11.5714285714286"/>
    <col min="2146" max="2146" width="8.52380952380952"/>
    <col min="2147" max="2147" width="11.5714285714286"/>
    <col min="2148" max="2148" width="8.52380952380952"/>
    <col min="2149" max="2149" width="11.5714285714286"/>
    <col min="2150" max="2150" width="8.52380952380952"/>
    <col min="2151" max="2151" width="11.5714285714286"/>
    <col min="2152" max="2152" width="8.52380952380952"/>
    <col min="2153" max="2153" width="11.5714285714286"/>
    <col min="2154" max="2154" width="8.52380952380952"/>
    <col min="2155" max="2155" width="11.5714285714286"/>
    <col min="2156" max="2156" width="8.52380952380952"/>
    <col min="2157" max="2157" width="11.5714285714286"/>
    <col min="2158" max="2158" width="8.52380952380952"/>
    <col min="2159" max="2159" width="11.5714285714286"/>
    <col min="2160" max="2160" width="8.52380952380952"/>
    <col min="2161" max="2161" width="11.5714285714286"/>
    <col min="2162" max="2162" width="8.52380952380952"/>
    <col min="2163" max="2163" width="11.5714285714286"/>
    <col min="2164" max="2164" width="8.52380952380952"/>
    <col min="2165" max="2165" width="11.5714285714286"/>
    <col min="2166" max="2166" width="8.52380952380952"/>
    <col min="2167" max="2167" width="11.5714285714286"/>
    <col min="2168" max="2168" width="8.52380952380952"/>
    <col min="2169" max="2169" width="11.5714285714286"/>
    <col min="2170" max="2170" width="8.52380952380952"/>
    <col min="2171" max="2171" width="11.5714285714286"/>
    <col min="2172" max="2172" width="8.52380952380952"/>
    <col min="2173" max="2173" width="11.5714285714286"/>
    <col min="2174" max="2174" width="8.52380952380952"/>
    <col min="2175" max="2175" width="11.5714285714286"/>
    <col min="2176" max="2176" width="8.52380952380952"/>
    <col min="2177" max="2177" width="11.5714285714286"/>
    <col min="2178" max="2178" width="8.52380952380952"/>
    <col min="2179" max="2179" width="11.5714285714286"/>
    <col min="2180" max="2180" width="8.52380952380952"/>
    <col min="2181" max="2181" width="11.5714285714286"/>
    <col min="2182" max="2182" width="8.52380952380952"/>
    <col min="2183" max="2183" width="11.5714285714286"/>
    <col min="2184" max="2184" width="8.52380952380952"/>
    <col min="2185" max="2185" width="11.5714285714286"/>
    <col min="2186" max="2186" width="8.52380952380952"/>
    <col min="2187" max="2187" width="11.5714285714286"/>
    <col min="2188" max="2188" width="8.52380952380952"/>
    <col min="2189" max="2189" width="11.5714285714286"/>
    <col min="2190" max="2190" width="8.52380952380952"/>
    <col min="2191" max="2191" width="11.5714285714286"/>
    <col min="2192" max="2192" width="8.52380952380952"/>
    <col min="2193" max="2193" width="11.5714285714286"/>
    <col min="2194" max="2194" width="8.52380952380952"/>
    <col min="2195" max="2195" width="11.5714285714286"/>
    <col min="2196" max="2196" width="8.52380952380952"/>
    <col min="2197" max="2197" width="11.5714285714286"/>
    <col min="2198" max="2198" width="8.52380952380952"/>
    <col min="2199" max="2199" width="11.5714285714286"/>
    <col min="2200" max="2200" width="8.52380952380952"/>
    <col min="2201" max="2201" width="11.5714285714286"/>
    <col min="2202" max="2202" width="8.52380952380952"/>
    <col min="2203" max="2203" width="11.5714285714286"/>
    <col min="2204" max="2204" width="8.52380952380952"/>
    <col min="2205" max="2205" width="11.5714285714286"/>
    <col min="2206" max="2206" width="8.52380952380952"/>
    <col min="2207" max="2207" width="11.5714285714286"/>
    <col min="2208" max="2208" width="8.52380952380952"/>
    <col min="2209" max="2209" width="11.5714285714286"/>
    <col min="2210" max="2210" width="8.52380952380952"/>
    <col min="2211" max="2211" width="11.5714285714286"/>
    <col min="2212" max="2212" width="8.52380952380952"/>
    <col min="2213" max="2213" width="11.5714285714286"/>
    <col min="2214" max="2214" width="8.52380952380952"/>
    <col min="2215" max="2215" width="11.5714285714286"/>
    <col min="2216" max="2216" width="8.52380952380952"/>
    <col min="2217" max="2217" width="11.5714285714286"/>
    <col min="2218" max="2218" width="8.52380952380952"/>
    <col min="2219" max="2219" width="11.5714285714286"/>
    <col min="2220" max="2220" width="8.52380952380952"/>
    <col min="2221" max="2221" width="11.5714285714286"/>
    <col min="2222" max="2222" width="8.52380952380952"/>
    <col min="2223" max="2223" width="11.5714285714286"/>
    <col min="2224" max="2224" width="8.52380952380952"/>
    <col min="2225" max="2225" width="11.5714285714286"/>
    <col min="2226" max="2226" width="8.52380952380952"/>
    <col min="2227" max="2227" width="11.5714285714286"/>
    <col min="2228" max="2228" width="8.52380952380952"/>
    <col min="2229" max="2229" width="11.5714285714286"/>
    <col min="2230" max="2230" width="8.52380952380952"/>
    <col min="2231" max="2231" width="11.5714285714286"/>
    <col min="2232" max="2232" width="8.52380952380952"/>
    <col min="2233" max="2233" width="11.5714285714286"/>
    <col min="2234" max="2234" width="8.52380952380952"/>
    <col min="2235" max="2235" width="11.5714285714286"/>
    <col min="2236" max="2236" width="8.52380952380952"/>
    <col min="2237" max="2237" width="11.5714285714286"/>
    <col min="2238" max="2238" width="8.52380952380952"/>
    <col min="2239" max="2239" width="11.5714285714286"/>
    <col min="2240" max="2240" width="8.52380952380952"/>
    <col min="2241" max="2241" width="11.5714285714286"/>
    <col min="2242" max="2242" width="8.52380952380952"/>
    <col min="2243" max="2243" width="11.5714285714286"/>
    <col min="2244" max="2244" width="8.52380952380952"/>
    <col min="2245" max="2245" width="11.5714285714286"/>
    <col min="2246" max="2246" width="8.52380952380952"/>
    <col min="2247" max="2247" width="11.5714285714286"/>
    <col min="2248" max="2248" width="8.52380952380952"/>
    <col min="2249" max="2249" width="11.5714285714286"/>
    <col min="2250" max="2250" width="8.52380952380952"/>
    <col min="2251" max="2251" width="11.5714285714286"/>
    <col min="2252" max="2252" width="8.52380952380952"/>
    <col min="2253" max="2253" width="11.5714285714286"/>
    <col min="2254" max="2254" width="8.52380952380952"/>
    <col min="2255" max="2255" width="11.5714285714286"/>
    <col min="2256" max="2256" width="8.52380952380952"/>
    <col min="2257" max="2257" width="11.5714285714286"/>
    <col min="2258" max="2258" width="8.52380952380952"/>
    <col min="2259" max="2259" width="11.5714285714286"/>
    <col min="2260" max="2260" width="8.52380952380952"/>
    <col min="2261" max="2261" width="11.5714285714286"/>
    <col min="2262" max="2262" width="8.52380952380952"/>
    <col min="2263" max="2263" width="11.5714285714286"/>
    <col min="2264" max="2264" width="8.52380952380952"/>
    <col min="2265" max="2265" width="11.5714285714286"/>
    <col min="2266" max="2266" width="8.52380952380952"/>
    <col min="2267" max="2267" width="11.5714285714286"/>
    <col min="2268" max="2268" width="8.52380952380952"/>
    <col min="2269" max="2269" width="11.5714285714286"/>
    <col min="2270" max="2270" width="8.52380952380952"/>
    <col min="2271" max="2271" width="11.5714285714286"/>
    <col min="2272" max="2272" width="8.52380952380952"/>
    <col min="2273" max="2273" width="11.5714285714286"/>
    <col min="2274" max="2274" width="8.52380952380952"/>
    <col min="2275" max="2275" width="11.5714285714286"/>
    <col min="2276" max="2276" width="8.52380952380952"/>
    <col min="2277" max="2277" width="11.5714285714286"/>
    <col min="2278" max="2278" width="8.52380952380952"/>
    <col min="2279" max="2279" width="11.5714285714286"/>
    <col min="2280" max="2280" width="8.52380952380952"/>
    <col min="2281" max="2281" width="11.5714285714286"/>
    <col min="2282" max="2282" width="8.52380952380952"/>
    <col min="2283" max="2283" width="11.5714285714286"/>
    <col min="2284" max="2284" width="8.52380952380952"/>
    <col min="2285" max="2285" width="11.5714285714286"/>
    <col min="2286" max="2286" width="8.52380952380952"/>
    <col min="2287" max="2287" width="11.5714285714286"/>
    <col min="2288" max="2288" width="8.52380952380952"/>
    <col min="2289" max="2289" width="11.5714285714286"/>
    <col min="2290" max="2290" width="8.52380952380952"/>
    <col min="2291" max="2291" width="11.5714285714286"/>
    <col min="2292" max="2292" width="8.52380952380952"/>
    <col min="2293" max="2293" width="11.5714285714286"/>
    <col min="2294" max="2294" width="8.52380952380952"/>
    <col min="2295" max="2295" width="11.5714285714286"/>
    <col min="2296" max="2296" width="8.52380952380952"/>
    <col min="2297" max="2297" width="11.5714285714286"/>
    <col min="2298" max="2298" width="8.52380952380952"/>
    <col min="2299" max="2299" width="11.5714285714286"/>
    <col min="2300" max="2300" width="8.52380952380952"/>
    <col min="2301" max="2301" width="11.5714285714286"/>
    <col min="2302" max="2302" width="8.52380952380952"/>
    <col min="2303" max="2303" width="11.5714285714286"/>
    <col min="2304" max="2304" width="8.52380952380952"/>
    <col min="2305" max="2305" width="11.5714285714286"/>
    <col min="2306" max="2306" width="8.52380952380952"/>
    <col min="2307" max="2307" width="11.5714285714286"/>
    <col min="2308" max="2308" width="8.52380952380952"/>
    <col min="2309" max="2309" width="11.5714285714286"/>
    <col min="2310" max="2310" width="8.52380952380952"/>
    <col min="2311" max="2311" width="11.5714285714286"/>
    <col min="2312" max="2312" width="8.52380952380952"/>
    <col min="2313" max="2313" width="11.5714285714286"/>
    <col min="2314" max="2314" width="8.52380952380952"/>
    <col min="2315" max="2315" width="11.5714285714286"/>
    <col min="2316" max="2316" width="8.52380952380952"/>
    <col min="2317" max="2317" width="11.5714285714286"/>
    <col min="2318" max="2318" width="8.52380952380952"/>
    <col min="2319" max="2319" width="11.5714285714286"/>
    <col min="2320" max="2320" width="8.52380952380952"/>
    <col min="2321" max="2321" width="11.5714285714286"/>
    <col min="2322" max="2322" width="8.52380952380952"/>
    <col min="2323" max="2323" width="11.5714285714286"/>
    <col min="2324" max="2324" width="8.52380952380952"/>
    <col min="2325" max="2325" width="11.5714285714286"/>
    <col min="2326" max="2326" width="8.52380952380952"/>
    <col min="2327" max="2327" width="11.5714285714286"/>
    <col min="2328" max="2328" width="8.52380952380952"/>
    <col min="2329" max="2329" width="11.5714285714286"/>
    <col min="2330" max="2330" width="8.52380952380952"/>
    <col min="2331" max="2331" width="11.5714285714286"/>
    <col min="2332" max="2332" width="8.52380952380952"/>
    <col min="2333" max="2333" width="11.5714285714286"/>
    <col min="2334" max="2334" width="8.52380952380952"/>
    <col min="2335" max="2335" width="11.5714285714286"/>
    <col min="2336" max="2336" width="8.52380952380952"/>
    <col min="2337" max="2337" width="11.5714285714286"/>
    <col min="2338" max="2338" width="8.52380952380952"/>
    <col min="2339" max="2339" width="11.5714285714286"/>
    <col min="2340" max="2340" width="8.52380952380952"/>
    <col min="2341" max="2341" width="11.5714285714286"/>
    <col min="2342" max="2342" width="8.52380952380952"/>
    <col min="2343" max="2343" width="11.5714285714286"/>
    <col min="2344" max="2344" width="8.52380952380952"/>
    <col min="2345" max="2345" width="11.5714285714286"/>
    <col min="2346" max="2346" width="8.52380952380952"/>
    <col min="2347" max="2347" width="11.5714285714286"/>
    <col min="2348" max="2348" width="8.52380952380952"/>
    <col min="2349" max="2349" width="11.5714285714286"/>
    <col min="2350" max="2350" width="8.52380952380952"/>
    <col min="2351" max="2351" width="11.5714285714286"/>
    <col min="2352" max="2352" width="8.52380952380952"/>
    <col min="2353" max="2353" width="11.5714285714286"/>
    <col min="2354" max="2354" width="8.52380952380952"/>
    <col min="2355" max="2355" width="11.5714285714286"/>
    <col min="2356" max="2356" width="8.52380952380952"/>
    <col min="2357" max="2357" width="11.5714285714286"/>
    <col min="2358" max="2358" width="8.52380952380952"/>
    <col min="2359" max="2359" width="11.5714285714286"/>
    <col min="2360" max="2360" width="8.52380952380952"/>
    <col min="2361" max="2361" width="11.5714285714286"/>
    <col min="2362" max="2362" width="8.52380952380952"/>
    <col min="2363" max="2363" width="11.5714285714286"/>
    <col min="2364" max="2364" width="8.52380952380952"/>
    <col min="2365" max="2365" width="11.5714285714286"/>
    <col min="2366" max="2366" width="8.52380952380952"/>
    <col min="2367" max="2367" width="11.5714285714286"/>
    <col min="2368" max="2368" width="8.52380952380952"/>
    <col min="2369" max="2369" width="11.5714285714286"/>
    <col min="2370" max="2370" width="8.52380952380952"/>
    <col min="2371" max="2371" width="11.5714285714286"/>
    <col min="2372" max="2372" width="8.52380952380952"/>
    <col min="2373" max="2373" width="11.5714285714286"/>
    <col min="2374" max="2374" width="8.52380952380952"/>
    <col min="2375" max="2375" width="11.5714285714286"/>
    <col min="2376" max="2376" width="8.52380952380952"/>
    <col min="2377" max="2377" width="11.5714285714286"/>
    <col min="2378" max="2378" width="8.52380952380952"/>
    <col min="2379" max="2379" width="11.5714285714286"/>
    <col min="2380" max="2380" width="8.52380952380952"/>
    <col min="2381" max="2381" width="11.5714285714286"/>
    <col min="2382" max="2382" width="8.52380952380952"/>
    <col min="2383" max="2383" width="11.5714285714286"/>
    <col min="2384" max="2384" width="8.52380952380952"/>
    <col min="2385" max="2385" width="11.5714285714286"/>
    <col min="2386" max="2386" width="8.52380952380952"/>
    <col min="2387" max="2387" width="11.5714285714286"/>
    <col min="2388" max="2388" width="8.52380952380952"/>
    <col min="2389" max="2389" width="11.5714285714286"/>
    <col min="2390" max="2390" width="8.52380952380952"/>
    <col min="2391" max="2391" width="11.5714285714286"/>
    <col min="2392" max="2392" width="8.52380952380952"/>
    <col min="2393" max="2393" width="11.5714285714286"/>
    <col min="2394" max="2394" width="8.52380952380952"/>
    <col min="2395" max="2395" width="11.5714285714286"/>
    <col min="2396" max="2396" width="8.52380952380952"/>
    <col min="2397" max="2397" width="11.5714285714286"/>
    <col min="2398" max="2398" width="8.52380952380952"/>
    <col min="2399" max="2399" width="11.5714285714286"/>
    <col min="2400" max="2400" width="8.52380952380952"/>
    <col min="2401" max="2401" width="11.5714285714286"/>
    <col min="2402" max="2402" width="8.52380952380952"/>
    <col min="2403" max="2403" width="11.5714285714286"/>
    <col min="2404" max="2404" width="8.52380952380952"/>
    <col min="2405" max="2405" width="11.5714285714286"/>
    <col min="2406" max="2406" width="8.52380952380952"/>
    <col min="2407" max="2407" width="11.5714285714286"/>
    <col min="2408" max="2408" width="8.52380952380952"/>
    <col min="2409" max="2409" width="11.5714285714286"/>
    <col min="2410" max="2410" width="8.52380952380952"/>
    <col min="2411" max="2411" width="11.5714285714286"/>
    <col min="2412" max="2412" width="8.52380952380952"/>
    <col min="2413" max="2413" width="11.5714285714286"/>
    <col min="2414" max="2414" width="8.52380952380952"/>
    <col min="2415" max="2415" width="11.5714285714286"/>
    <col min="2416" max="2416" width="8.52380952380952"/>
    <col min="2417" max="2417" width="11.5714285714286"/>
    <col min="2418" max="2418" width="8.52380952380952"/>
    <col min="2419" max="2419" width="11.5714285714286"/>
    <col min="2420" max="2420" width="8.52380952380952"/>
    <col min="2421" max="2421" width="11.5714285714286"/>
    <col min="2422" max="2422" width="8.52380952380952"/>
    <col min="2423" max="2423" width="11.5714285714286"/>
    <col min="2424" max="2424" width="8.52380952380952"/>
    <col min="2425" max="2425" width="11.5714285714286"/>
    <col min="2426" max="2426" width="8.52380952380952"/>
    <col min="2427" max="2427" width="11.5714285714286"/>
    <col min="2428" max="2428" width="8.52380952380952"/>
    <col min="2429" max="2429" width="11.5714285714286"/>
    <col min="2430" max="2430" width="8.52380952380952"/>
    <col min="2431" max="2431" width="11.5714285714286"/>
    <col min="2432" max="2432" width="8.52380952380952"/>
    <col min="2433" max="2433" width="11.5714285714286"/>
    <col min="2434" max="2434" width="8.52380952380952"/>
    <col min="2435" max="2435" width="11.5714285714286"/>
    <col min="2436" max="2436" width="8.52380952380952"/>
    <col min="2437" max="2437" width="11.5714285714286"/>
    <col min="2438" max="2438" width="8.52380952380952"/>
    <col min="2439" max="2439" width="11.5714285714286"/>
    <col min="2440" max="2440" width="8.52380952380952"/>
    <col min="2441" max="2441" width="11.5714285714286"/>
    <col min="2442" max="2442" width="8.52380952380952"/>
    <col min="2443" max="2443" width="11.5714285714286"/>
    <col min="2444" max="2444" width="8.52380952380952"/>
    <col min="2445" max="2445" width="11.5714285714286"/>
    <col min="2446" max="2446" width="8.52380952380952"/>
    <col min="2447" max="2447" width="11.5714285714286"/>
    <col min="2448" max="2448" width="8.52380952380952"/>
    <col min="2449" max="2449" width="11.5714285714286"/>
    <col min="2450" max="2450" width="8.52380952380952"/>
    <col min="2451" max="2451" width="11.5714285714286"/>
    <col min="2452" max="2452" width="8.52380952380952"/>
    <col min="2453" max="2453" width="11.5714285714286"/>
    <col min="2454" max="2454" width="8.52380952380952"/>
    <col min="2455" max="2455" width="11.5714285714286"/>
    <col min="2456" max="2456" width="8.52380952380952"/>
    <col min="2457" max="2457" width="11.5714285714286"/>
    <col min="2458" max="2458" width="8.52380952380952"/>
    <col min="2459" max="2459" width="11.5714285714286"/>
    <col min="2460" max="2460" width="8.52380952380952"/>
    <col min="2461" max="2461" width="11.5714285714286"/>
    <col min="2462" max="2462" width="8.52380952380952"/>
    <col min="2463" max="2463" width="11.5714285714286"/>
    <col min="2464" max="2464" width="8.52380952380952"/>
    <col min="2465" max="2465" width="11.5714285714286"/>
    <col min="2466" max="2466" width="8.52380952380952"/>
    <col min="2467" max="2467" width="11.5714285714286"/>
    <col min="2468" max="2468" width="8.52380952380952"/>
    <col min="2469" max="2469" width="11.5714285714286"/>
    <col min="2470" max="2470" width="8.52380952380952"/>
    <col min="2471" max="2471" width="11.5714285714286"/>
    <col min="2472" max="2472" width="8.52380952380952"/>
    <col min="2473" max="2473" width="11.5714285714286"/>
    <col min="2474" max="2474" width="8.52380952380952"/>
    <col min="2475" max="2475" width="11.5714285714286"/>
    <col min="2476" max="2476" width="8.52380952380952"/>
    <col min="2477" max="2477" width="11.5714285714286"/>
    <col min="2478" max="2478" width="8.52380952380952"/>
    <col min="2479" max="2479" width="11.5714285714286"/>
    <col min="2480" max="2480" width="8.52380952380952"/>
    <col min="2481" max="2481" width="11.5714285714286"/>
    <col min="2482" max="2482" width="8.52380952380952"/>
    <col min="2483" max="2483" width="11.5714285714286"/>
    <col min="2484" max="2484" width="8.52380952380952"/>
    <col min="2485" max="2485" width="11.5714285714286"/>
    <col min="2486" max="2486" width="8.52380952380952"/>
    <col min="2487" max="2487" width="11.5714285714286"/>
    <col min="2488" max="2488" width="8.52380952380952"/>
    <col min="2489" max="2489" width="11.5714285714286"/>
    <col min="2490" max="2490" width="8.52380952380952"/>
    <col min="2491" max="2491" width="11.5714285714286"/>
    <col min="2492" max="2492" width="8.52380952380952"/>
    <col min="2493" max="2493" width="11.5714285714286"/>
    <col min="2494" max="2494" width="8.52380952380952"/>
    <col min="2495" max="2495" width="11.5714285714286"/>
    <col min="2496" max="2496" width="8.52380952380952"/>
    <col min="2497" max="2497" width="11.5714285714286"/>
    <col min="2498" max="2498" width="8.52380952380952"/>
    <col min="2499" max="2499" width="11.5714285714286"/>
    <col min="2500" max="2500" width="8.52380952380952"/>
    <col min="2501" max="2501" width="11.5714285714286"/>
    <col min="2502" max="2502" width="8.52380952380952"/>
    <col min="2503" max="2503" width="11.5714285714286"/>
    <col min="2504" max="2504" width="8.52380952380952"/>
    <col min="2505" max="2505" width="11.5714285714286"/>
    <col min="2506" max="2506" width="8.52380952380952"/>
    <col min="2507" max="2507" width="11.5714285714286"/>
    <col min="2508" max="2508" width="8.52380952380952"/>
    <col min="2509" max="2509" width="11.5714285714286"/>
    <col min="2510" max="2510" width="8.52380952380952"/>
    <col min="2511" max="2511" width="11.5714285714286"/>
    <col min="2512" max="2512" width="8.52380952380952"/>
    <col min="2513" max="2513" width="11.5714285714286"/>
    <col min="2514" max="2514" width="8.52380952380952"/>
    <col min="2515" max="2515" width="11.5714285714286"/>
    <col min="2516" max="2516" width="8.52380952380952"/>
    <col min="2517" max="2517" width="11.5714285714286"/>
    <col min="2518" max="2518" width="8.52380952380952"/>
    <col min="2519" max="2519" width="11.5714285714286"/>
    <col min="2520" max="2520" width="8.52380952380952"/>
    <col min="2521" max="2521" width="11.5714285714286"/>
    <col min="2522" max="2522" width="8.52380952380952"/>
    <col min="2523" max="2523" width="11.5714285714286"/>
    <col min="2524" max="2524" width="8.52380952380952"/>
    <col min="2525" max="2525" width="11.5714285714286"/>
    <col min="2526" max="2526" width="8.52380952380952"/>
    <col min="2527" max="2527" width="11.5714285714286"/>
    <col min="2528" max="2528" width="8.52380952380952"/>
    <col min="2529" max="2529" width="11.5714285714286"/>
    <col min="2530" max="2530" width="8.52380952380952"/>
    <col min="2531" max="2531" width="11.5714285714286"/>
    <col min="2532" max="2532" width="8.52380952380952"/>
    <col min="2533" max="2533" width="11.5714285714286"/>
    <col min="2534" max="2534" width="8.52380952380952"/>
    <col min="2535" max="2535" width="11.5714285714286"/>
    <col min="2536" max="2536" width="8.52380952380952"/>
    <col min="2537" max="2537" width="11.5714285714286"/>
    <col min="2538" max="2538" width="8.52380952380952"/>
    <col min="2539" max="2539" width="11.5714285714286"/>
    <col min="2540" max="2540" width="8.52380952380952"/>
    <col min="2541" max="2541" width="11.5714285714286"/>
    <col min="2542" max="2542" width="8.52380952380952"/>
    <col min="2543" max="2543" width="11.5714285714286"/>
    <col min="2544" max="2544" width="8.52380952380952"/>
    <col min="2545" max="2545" width="11.5714285714286"/>
    <col min="2546" max="2546" width="8.52380952380952"/>
    <col min="2547" max="2547" width="11.5714285714286"/>
    <col min="2548" max="2548" width="8.52380952380952"/>
    <col min="2549" max="2549" width="11.5714285714286"/>
    <col min="2550" max="2550" width="8.52380952380952"/>
    <col min="2551" max="2551" width="11.5714285714286"/>
    <col min="2552" max="2552" width="8.52380952380952"/>
    <col min="2553" max="2553" width="11.5714285714286"/>
    <col min="2554" max="2554" width="8.52380952380952"/>
    <col min="2555" max="2555" width="11.5714285714286"/>
    <col min="2556" max="2556" width="8.52380952380952"/>
    <col min="2557" max="2557" width="11.5714285714286"/>
    <col min="2558" max="2558" width="8.52380952380952"/>
    <col min="2559" max="2559" width="11.5714285714286"/>
    <col min="2560" max="2560" width="8.52380952380952"/>
    <col min="2561" max="2561" width="11.5714285714286"/>
    <col min="2562" max="2562" width="8.52380952380952"/>
    <col min="2563" max="2563" width="11.5714285714286"/>
    <col min="2564" max="2564" width="8.52380952380952"/>
    <col min="2565" max="2565" width="11.5714285714286"/>
    <col min="2566" max="2566" width="8.52380952380952"/>
    <col min="2567" max="2567" width="11.5714285714286"/>
    <col min="2568" max="2568" width="8.52380952380952"/>
    <col min="2569" max="2569" width="11.5714285714286"/>
    <col min="2570" max="2570" width="8.52380952380952"/>
    <col min="2571" max="2571" width="11.5714285714286"/>
    <col min="2572" max="2572" width="8.52380952380952"/>
    <col min="2573" max="2573" width="11.5714285714286"/>
    <col min="2574" max="2574" width="8.52380952380952"/>
    <col min="2575" max="2575" width="11.5714285714286"/>
    <col min="2576" max="2576" width="8.52380952380952"/>
    <col min="2577" max="2577" width="11.5714285714286"/>
    <col min="2578" max="2578" width="8.52380952380952"/>
    <col min="2579" max="2579" width="11.5714285714286"/>
    <col min="2580" max="2580" width="8.52380952380952"/>
    <col min="2581" max="2581" width="11.5714285714286"/>
    <col min="2582" max="2582" width="8.52380952380952"/>
    <col min="2583" max="2583" width="11.5714285714286"/>
    <col min="2584" max="2584" width="8.52380952380952"/>
    <col min="2585" max="2585" width="11.5714285714286"/>
    <col min="2586" max="2586" width="8.52380952380952"/>
    <col min="2587" max="2587" width="11.5714285714286"/>
    <col min="2588" max="2588" width="8.52380952380952"/>
    <col min="2589" max="2589" width="11.5714285714286"/>
    <col min="2590" max="2590" width="8.52380952380952"/>
    <col min="2591" max="2591" width="11.5714285714286"/>
    <col min="2592" max="2592" width="8.52380952380952"/>
    <col min="2593" max="2593" width="11.5714285714286"/>
    <col min="2594" max="2594" width="8.52380952380952"/>
    <col min="2595" max="2595" width="11.5714285714286"/>
    <col min="2596" max="2596" width="8.52380952380952"/>
    <col min="2597" max="2597" width="11.5714285714286"/>
    <col min="2598" max="2598" width="8.52380952380952"/>
    <col min="2599" max="2599" width="11.5714285714286"/>
    <col min="2600" max="2600" width="8.52380952380952"/>
    <col min="2601" max="2601" width="11.5714285714286"/>
    <col min="2602" max="2602" width="8.52380952380952"/>
    <col min="2603" max="2603" width="11.5714285714286"/>
    <col min="2604" max="2604" width="8.52380952380952"/>
    <col min="2605" max="2605" width="11.5714285714286"/>
    <col min="2606" max="2606" width="8.52380952380952"/>
    <col min="2607" max="2607" width="11.5714285714286"/>
    <col min="2608" max="2608" width="8.52380952380952"/>
    <col min="2609" max="2609" width="11.5714285714286"/>
    <col min="2610" max="2610" width="8.52380952380952"/>
    <col min="2611" max="2611" width="11.5714285714286"/>
    <col min="2612" max="2612" width="8.52380952380952"/>
    <col min="2613" max="2613" width="11.5714285714286"/>
    <col min="2614" max="2614" width="8.52380952380952"/>
    <col min="2615" max="2615" width="11.5714285714286"/>
    <col min="2616" max="2616" width="8.52380952380952"/>
    <col min="2617" max="2617" width="11.5714285714286"/>
    <col min="2618" max="2618" width="8.52380952380952"/>
    <col min="2619" max="2619" width="11.5714285714286"/>
    <col min="2620" max="2620" width="8.52380952380952"/>
    <col min="2621" max="2621" width="11.5714285714286"/>
    <col min="2622" max="2622" width="8.52380952380952"/>
    <col min="2623" max="2623" width="11.5714285714286"/>
    <col min="2624" max="2624" width="8.52380952380952"/>
    <col min="2625" max="2625" width="11.5714285714286"/>
    <col min="2626" max="2626" width="8.52380952380952"/>
    <col min="2627" max="2627" width="11.5714285714286"/>
    <col min="2628" max="2628" width="8.52380952380952"/>
    <col min="2629" max="2629" width="11.5714285714286"/>
    <col min="2630" max="2630" width="8.52380952380952"/>
    <col min="2631" max="2631" width="11.5714285714286"/>
    <col min="2632" max="2632" width="8.52380952380952"/>
    <col min="2633" max="2633" width="11.5714285714286"/>
    <col min="2634" max="2634" width="8.52380952380952"/>
    <col min="2635" max="2635" width="11.5714285714286"/>
    <col min="2636" max="2636" width="8.52380952380952"/>
    <col min="2637" max="2637" width="11.5714285714286"/>
    <col min="2638" max="2638" width="8.52380952380952"/>
    <col min="2639" max="2639" width="11.5714285714286"/>
    <col min="2640" max="2640" width="8.52380952380952"/>
    <col min="2641" max="2641" width="11.5714285714286"/>
    <col min="2642" max="2642" width="8.52380952380952"/>
    <col min="2643" max="2643" width="11.5714285714286"/>
    <col min="2644" max="2644" width="8.52380952380952"/>
    <col min="2645" max="2645" width="11.5714285714286"/>
    <col min="2646" max="2646" width="8.52380952380952"/>
    <col min="2647" max="2647" width="11.5714285714286"/>
    <col min="2648" max="2648" width="8.52380952380952"/>
    <col min="2649" max="2649" width="11.5714285714286"/>
    <col min="2650" max="2650" width="8.52380952380952"/>
    <col min="2651" max="2651" width="11.5714285714286"/>
    <col min="2652" max="2652" width="8.52380952380952"/>
    <col min="2653" max="2653" width="11.5714285714286"/>
    <col min="2654" max="2654" width="8.52380952380952"/>
    <col min="2655" max="2655" width="11.5714285714286"/>
    <col min="2656" max="2656" width="8.52380952380952"/>
    <col min="2657" max="2657" width="11.5714285714286"/>
    <col min="2658" max="2658" width="8.52380952380952"/>
    <col min="2659" max="2659" width="11.5714285714286"/>
    <col min="2660" max="2660" width="8.52380952380952"/>
    <col min="2661" max="2661" width="11.5714285714286"/>
    <col min="2662" max="2662" width="8.52380952380952"/>
    <col min="2663" max="2663" width="11.5714285714286"/>
    <col min="2664" max="2664" width="8.52380952380952"/>
    <col min="2665" max="2665" width="11.5714285714286"/>
    <col min="2666" max="2666" width="8.52380952380952"/>
    <col min="2667" max="2667" width="11.5714285714286"/>
    <col min="2668" max="2668" width="8.52380952380952"/>
    <col min="2669" max="2669" width="11.5714285714286"/>
    <col min="2670" max="2670" width="8.52380952380952"/>
    <col min="2671" max="2671" width="11.5714285714286"/>
    <col min="2672" max="2672" width="8.52380952380952"/>
    <col min="2673" max="2673" width="11.5714285714286"/>
    <col min="2674" max="2674" width="8.52380952380952"/>
    <col min="2675" max="2675" width="11.5714285714286"/>
    <col min="2676" max="2676" width="8.52380952380952"/>
    <col min="2677" max="2677" width="11.5714285714286"/>
    <col min="2678" max="2678" width="8.52380952380952"/>
    <col min="2679" max="2679" width="11.5714285714286"/>
    <col min="2680" max="2680" width="8.52380952380952"/>
    <col min="2681" max="2681" width="11.5714285714286"/>
    <col min="2682" max="2682" width="8.52380952380952"/>
    <col min="2683" max="2683" width="11.5714285714286"/>
    <col min="2684" max="2684" width="8.52380952380952"/>
    <col min="2685" max="2685" width="11.5714285714286"/>
    <col min="2686" max="2686" width="8.52380952380952"/>
    <col min="2687" max="2687" width="11.5714285714286"/>
    <col min="2688" max="2688" width="8.52380952380952"/>
    <col min="2689" max="2689" width="11.5714285714286"/>
    <col min="2690" max="2690" width="8.52380952380952"/>
    <col min="2691" max="2691" width="11.5714285714286"/>
    <col min="2692" max="2692" width="8.52380952380952"/>
    <col min="2693" max="2693" width="11.5714285714286"/>
    <col min="2694" max="2694" width="8.52380952380952"/>
    <col min="2695" max="2695" width="11.5714285714286"/>
    <col min="2696" max="2696" width="8.52380952380952"/>
    <col min="2697" max="2697" width="11.5714285714286"/>
    <col min="2698" max="2698" width="8.52380952380952"/>
    <col min="2699" max="2699" width="11.5714285714286"/>
    <col min="2700" max="2700" width="8.52380952380952"/>
    <col min="2701" max="2701" width="11.5714285714286"/>
    <col min="2702" max="2702" width="8.52380952380952"/>
    <col min="2703" max="2703" width="11.5714285714286"/>
    <col min="2704" max="2704" width="8.52380952380952"/>
    <col min="2705" max="2705" width="11.5714285714286"/>
    <col min="2706" max="2706" width="8.52380952380952"/>
    <col min="2707" max="2707" width="11.5714285714286"/>
    <col min="2708" max="2708" width="8.52380952380952"/>
    <col min="2709" max="2709" width="11.5714285714286"/>
    <col min="2710" max="2710" width="8.52380952380952"/>
    <col min="2711" max="2711" width="11.5714285714286"/>
    <col min="2712" max="2712" width="8.52380952380952"/>
    <col min="2713" max="2713" width="11.5714285714286"/>
    <col min="2714" max="2714" width="8.52380952380952"/>
    <col min="2715" max="2715" width="11.5714285714286"/>
    <col min="2716" max="2716" width="8.52380952380952"/>
    <col min="2717" max="2717" width="11.5714285714286"/>
    <col min="2718" max="2718" width="8.52380952380952"/>
    <col min="2719" max="2719" width="11.5714285714286"/>
    <col min="2720" max="2720" width="8.52380952380952"/>
    <col min="2721" max="2721" width="11.5714285714286"/>
    <col min="2722" max="2722" width="8.52380952380952"/>
    <col min="2723" max="2723" width="11.5714285714286"/>
    <col min="2724" max="2724" width="8.52380952380952"/>
    <col min="2725" max="2725" width="11.5714285714286"/>
    <col min="2726" max="2726" width="8.52380952380952"/>
    <col min="2727" max="2727" width="11.5714285714286"/>
    <col min="2728" max="2728" width="8.52380952380952"/>
    <col min="2729" max="2729" width="11.5714285714286"/>
    <col min="2730" max="2730" width="8.52380952380952"/>
    <col min="2731" max="2731" width="11.5714285714286"/>
    <col min="2732" max="2732" width="8.52380952380952"/>
    <col min="2733" max="2733" width="11.5714285714286"/>
    <col min="2734" max="2734" width="8.52380952380952"/>
    <col min="2735" max="2735" width="11.5714285714286"/>
    <col min="2736" max="2736" width="8.52380952380952"/>
    <col min="2737" max="2737" width="11.5714285714286"/>
    <col min="2738" max="2738" width="8.52380952380952"/>
    <col min="2739" max="2739" width="11.5714285714286"/>
    <col min="2740" max="2740" width="8.52380952380952"/>
    <col min="2741" max="2741" width="11.5714285714286"/>
    <col min="2742" max="2742" width="8.52380952380952"/>
    <col min="2743" max="2743" width="11.5714285714286"/>
    <col min="2744" max="2744" width="8.52380952380952"/>
    <col min="2745" max="2745" width="11.5714285714286"/>
    <col min="2746" max="2746" width="8.52380952380952"/>
    <col min="2747" max="2747" width="11.5714285714286"/>
    <col min="2748" max="2748" width="8.52380952380952"/>
    <col min="2749" max="2749" width="11.5714285714286"/>
    <col min="2750" max="2750" width="8.52380952380952"/>
    <col min="2751" max="2751" width="11.5714285714286"/>
    <col min="2752" max="2752" width="8.52380952380952"/>
    <col min="2753" max="2753" width="11.5714285714286"/>
    <col min="2754" max="2754" width="8.52380952380952"/>
    <col min="2755" max="2755" width="11.5714285714286"/>
    <col min="2756" max="2756" width="8.52380952380952"/>
    <col min="2757" max="2757" width="11.5714285714286"/>
    <col min="2758" max="2758" width="8.52380952380952"/>
    <col min="2759" max="2759" width="11.5714285714286"/>
    <col min="2760" max="2760" width="8.52380952380952"/>
    <col min="2761" max="2761" width="11.5714285714286"/>
    <col min="2762" max="2762" width="8.52380952380952"/>
    <col min="2763" max="2763" width="11.5714285714286"/>
    <col min="2764" max="2764" width="8.52380952380952"/>
    <col min="2765" max="2765" width="11.5714285714286"/>
    <col min="2766" max="2766" width="8.52380952380952"/>
    <col min="2767" max="2767" width="11.5714285714286"/>
    <col min="2768" max="2768" width="8.52380952380952"/>
    <col min="2769" max="2769" width="11.5714285714286"/>
    <col min="2770" max="2770" width="8.52380952380952"/>
    <col min="2771" max="2771" width="11.5714285714286"/>
    <col min="2772" max="2772" width="8.52380952380952"/>
    <col min="2773" max="2773" width="11.5714285714286"/>
    <col min="2774" max="2774" width="8.52380952380952"/>
    <col min="2775" max="2775" width="11.5714285714286"/>
    <col min="2776" max="2776" width="8.52380952380952"/>
    <col min="2777" max="2777" width="11.5714285714286"/>
    <col min="2778" max="2778" width="8.52380952380952"/>
    <col min="2779" max="2779" width="11.5714285714286"/>
    <col min="2780" max="2780" width="8.52380952380952"/>
    <col min="2781" max="2781" width="11.5714285714286"/>
    <col min="2782" max="2782" width="8.52380952380952"/>
    <col min="2783" max="2783" width="11.5714285714286"/>
    <col min="2784" max="2784" width="8.52380952380952"/>
    <col min="2785" max="2785" width="11.5714285714286"/>
    <col min="2786" max="2786" width="8.52380952380952"/>
    <col min="2787" max="2787" width="11.5714285714286"/>
    <col min="2788" max="2788" width="8.52380952380952"/>
    <col min="2789" max="2789" width="11.5714285714286"/>
    <col min="2790" max="2790" width="8.52380952380952"/>
    <col min="2791" max="2791" width="11.5714285714286"/>
    <col min="2792" max="2792" width="8.52380952380952"/>
    <col min="2793" max="2793" width="11.5714285714286"/>
    <col min="2794" max="2794" width="8.52380952380952"/>
    <col min="2795" max="2795" width="11.5714285714286"/>
    <col min="2796" max="2796" width="8.52380952380952"/>
    <col min="2797" max="2797" width="11.5714285714286"/>
    <col min="2798" max="2798" width="8.52380952380952"/>
    <col min="2799" max="2799" width="11.5714285714286"/>
    <col min="2800" max="2800" width="8.52380952380952"/>
    <col min="2801" max="2801" width="11.5714285714286"/>
    <col min="2802" max="2802" width="8.52380952380952"/>
    <col min="2803" max="2803" width="11.5714285714286"/>
    <col min="2804" max="2804" width="8.52380952380952"/>
    <col min="2805" max="2805" width="11.5714285714286"/>
    <col min="2806" max="2806" width="8.52380952380952"/>
    <col min="2807" max="2807" width="11.5714285714286"/>
    <col min="2808" max="2808" width="8.52380952380952"/>
    <col min="2809" max="2809" width="11.5714285714286"/>
    <col min="2810" max="2810" width="8.52380952380952"/>
    <col min="2811" max="2811" width="11.5714285714286"/>
    <col min="2812" max="2812" width="8.52380952380952"/>
    <col min="2813" max="2813" width="11.5714285714286"/>
    <col min="2814" max="2814" width="8.52380952380952"/>
    <col min="2815" max="2815" width="11.5714285714286"/>
    <col min="2816" max="2816" width="8.52380952380952"/>
    <col min="2817" max="2817" width="11.5714285714286"/>
    <col min="2818" max="2818" width="8.52380952380952"/>
    <col min="2819" max="2819" width="11.5714285714286"/>
    <col min="2820" max="2820" width="8.52380952380952"/>
    <col min="2821" max="2821" width="11.5714285714286"/>
    <col min="2822" max="2822" width="8.52380952380952"/>
    <col min="2823" max="2823" width="11.5714285714286"/>
    <col min="2824" max="2824" width="8.52380952380952"/>
    <col min="2825" max="2825" width="11.5714285714286"/>
    <col min="2826" max="2826" width="8.52380952380952"/>
    <col min="2827" max="2827" width="11.5714285714286"/>
    <col min="2828" max="2828" width="8.52380952380952"/>
    <col min="2829" max="2829" width="11.5714285714286"/>
    <col min="2830" max="2830" width="8.52380952380952"/>
    <col min="2831" max="2831" width="11.5714285714286"/>
    <col min="2832" max="2832" width="8.52380952380952"/>
    <col min="2833" max="2833" width="11.5714285714286"/>
    <col min="2834" max="2834" width="8.52380952380952"/>
    <col min="2835" max="2835" width="11.5714285714286"/>
    <col min="2836" max="2836" width="8.52380952380952"/>
    <col min="2837" max="2837" width="11.5714285714286"/>
    <col min="2838" max="2838" width="8.52380952380952"/>
    <col min="2839" max="2839" width="11.5714285714286"/>
    <col min="2840" max="2840" width="8.52380952380952"/>
    <col min="2841" max="2841" width="11.5714285714286"/>
    <col min="2842" max="2842" width="8.52380952380952"/>
    <col min="2843" max="2843" width="11.5714285714286"/>
    <col min="2844" max="2844" width="8.52380952380952"/>
    <col min="2845" max="2845" width="11.5714285714286"/>
    <col min="2846" max="2846" width="8.52380952380952"/>
    <col min="2847" max="2847" width="11.5714285714286"/>
    <col min="2848" max="2848" width="8.52380952380952"/>
    <col min="2849" max="2849" width="11.5714285714286"/>
    <col min="2850" max="2850" width="8.52380952380952"/>
    <col min="2851" max="2851" width="11.5714285714286"/>
    <col min="2852" max="2852" width="8.52380952380952"/>
    <col min="2853" max="2853" width="11.5714285714286"/>
    <col min="2854" max="2854" width="8.52380952380952"/>
    <col min="2855" max="2855" width="11.5714285714286"/>
    <col min="2856" max="2856" width="8.52380952380952"/>
    <col min="2857" max="2857" width="11.5714285714286"/>
    <col min="2858" max="2858" width="8.52380952380952"/>
    <col min="2859" max="2859" width="11.5714285714286"/>
    <col min="2860" max="2860" width="8.52380952380952"/>
    <col min="2861" max="2861" width="11.5714285714286"/>
    <col min="2862" max="2862" width="8.52380952380952"/>
    <col min="2863" max="2863" width="11.5714285714286"/>
    <col min="2864" max="2864" width="8.52380952380952"/>
    <col min="2865" max="2865" width="11.5714285714286"/>
    <col min="2866" max="2866" width="8.52380952380952"/>
    <col min="2867" max="2867" width="11.5714285714286"/>
    <col min="2868" max="2868" width="8.52380952380952"/>
    <col min="2869" max="2869" width="11.5714285714286"/>
    <col min="2870" max="2870" width="8.52380952380952"/>
    <col min="2871" max="2871" width="11.5714285714286"/>
    <col min="2872" max="2872" width="8.52380952380952"/>
    <col min="2873" max="2873" width="11.5714285714286"/>
    <col min="2874" max="2874" width="8.52380952380952"/>
    <col min="2875" max="2875" width="11.5714285714286"/>
    <col min="2876" max="2876" width="8.52380952380952"/>
    <col min="2877" max="2877" width="11.5714285714286"/>
    <col min="2878" max="2878" width="8.52380952380952"/>
    <col min="2879" max="2879" width="11.5714285714286"/>
    <col min="2880" max="2880" width="8.52380952380952"/>
    <col min="2881" max="2881" width="11.5714285714286"/>
    <col min="2882" max="2882" width="8.52380952380952"/>
    <col min="2883" max="2883" width="11.5714285714286"/>
    <col min="2884" max="2884" width="8.52380952380952"/>
    <col min="2885" max="2885" width="11.5714285714286"/>
    <col min="2886" max="2886" width="8.52380952380952"/>
    <col min="2887" max="2887" width="11.5714285714286"/>
    <col min="2888" max="2888" width="8.52380952380952"/>
    <col min="2889" max="2889" width="11.5714285714286"/>
    <col min="2890" max="2890" width="8.52380952380952"/>
    <col min="2891" max="2891" width="11.5714285714286"/>
    <col min="2892" max="2892" width="8.52380952380952"/>
    <col min="2893" max="2893" width="11.5714285714286"/>
    <col min="2894" max="2894" width="8.52380952380952"/>
    <col min="2895" max="2895" width="11.5714285714286"/>
    <col min="2896" max="2896" width="8.52380952380952"/>
    <col min="2897" max="2897" width="11.5714285714286"/>
    <col min="2898" max="2898" width="8.52380952380952"/>
    <col min="2899" max="2899" width="11.5714285714286"/>
    <col min="2900" max="2900" width="8.52380952380952"/>
    <col min="2901" max="2901" width="11.5714285714286"/>
    <col min="2902" max="2902" width="8.52380952380952"/>
    <col min="2903" max="2903" width="11.5714285714286"/>
    <col min="2904" max="2904" width="8.52380952380952"/>
    <col min="2905" max="2905" width="11.5714285714286"/>
    <col min="2906" max="2906" width="8.52380952380952"/>
    <col min="2907" max="2907" width="11.5714285714286"/>
    <col min="2908" max="2908" width="8.52380952380952"/>
    <col min="2909" max="2909" width="11.5714285714286"/>
    <col min="2910" max="2910" width="8.52380952380952"/>
    <col min="2911" max="2911" width="11.5714285714286"/>
    <col min="2912" max="2912" width="8.52380952380952"/>
    <col min="2913" max="2913" width="11.5714285714286"/>
    <col min="2914" max="2914" width="8.52380952380952"/>
    <col min="2915" max="2915" width="11.5714285714286"/>
    <col min="2916" max="2916" width="8.52380952380952"/>
    <col min="2917" max="2917" width="11.5714285714286"/>
    <col min="2918" max="2918" width="8.52380952380952"/>
    <col min="2919" max="2919" width="11.5714285714286"/>
    <col min="2920" max="2920" width="8.52380952380952"/>
    <col min="2921" max="2921" width="11.5714285714286"/>
    <col min="2922" max="2922" width="8.52380952380952"/>
    <col min="2923" max="2923" width="11.5714285714286"/>
    <col min="2924" max="2924" width="8.52380952380952"/>
    <col min="2925" max="2925" width="11.5714285714286"/>
    <col min="2926" max="2926" width="8.52380952380952"/>
    <col min="2927" max="2927" width="11.5714285714286"/>
    <col min="2928" max="2928" width="8.52380952380952"/>
    <col min="2929" max="2929" width="11.5714285714286"/>
    <col min="2930" max="2930" width="8.52380952380952"/>
    <col min="2931" max="2931" width="11.5714285714286"/>
    <col min="2932" max="2932" width="8.52380952380952"/>
    <col min="2933" max="2933" width="11.5714285714286"/>
    <col min="2934" max="2934" width="8.52380952380952"/>
    <col min="2935" max="2935" width="11.5714285714286"/>
    <col min="2936" max="2936" width="8.52380952380952"/>
    <col min="2937" max="2937" width="11.5714285714286"/>
    <col min="2938" max="2938" width="8.52380952380952"/>
    <col min="2939" max="2939" width="11.5714285714286"/>
    <col min="2940" max="2940" width="8.52380952380952"/>
    <col min="2941" max="2941" width="11.5714285714286"/>
    <col min="2942" max="2942" width="8.52380952380952"/>
    <col min="2943" max="2943" width="11.5714285714286"/>
    <col min="2944" max="2944" width="8.52380952380952"/>
    <col min="2945" max="2945" width="11.5714285714286"/>
    <col min="2946" max="2946" width="8.52380952380952"/>
    <col min="2947" max="2947" width="11.5714285714286"/>
    <col min="2948" max="2948" width="8.52380952380952"/>
    <col min="2949" max="2949" width="11.5714285714286"/>
    <col min="2950" max="2950" width="8.52380952380952"/>
    <col min="2951" max="2951" width="11.5714285714286"/>
    <col min="2952" max="2952" width="8.52380952380952"/>
    <col min="2953" max="2953" width="11.5714285714286"/>
    <col min="2954" max="2954" width="8.52380952380952"/>
    <col min="2955" max="2955" width="11.5714285714286"/>
    <col min="2956" max="2956" width="8.52380952380952"/>
    <col min="2957" max="2957" width="11.5714285714286"/>
    <col min="2958" max="2958" width="8.52380952380952"/>
    <col min="2959" max="2959" width="11.5714285714286"/>
    <col min="2960" max="2960" width="8.52380952380952"/>
    <col min="2961" max="2961" width="11.5714285714286"/>
    <col min="2962" max="2962" width="8.52380952380952"/>
    <col min="2963" max="2963" width="11.5714285714286"/>
    <col min="2964" max="2964" width="8.52380952380952"/>
    <col min="2965" max="2965" width="11.5714285714286"/>
    <col min="2966" max="2966" width="8.52380952380952"/>
    <col min="2967" max="2967" width="11.5714285714286"/>
    <col min="2968" max="2968" width="8.52380952380952"/>
    <col min="2969" max="2969" width="11.5714285714286"/>
    <col min="2970" max="2970" width="8.52380952380952"/>
    <col min="2971" max="2971" width="11.5714285714286"/>
    <col min="2972" max="2972" width="8.52380952380952"/>
    <col min="2973" max="2973" width="11.5714285714286"/>
    <col min="2974" max="2974" width="8.52380952380952"/>
    <col min="2975" max="2975" width="11.5714285714286"/>
    <col min="2976" max="2976" width="8.52380952380952"/>
    <col min="2977" max="2977" width="11.5714285714286"/>
    <col min="2978" max="2978" width="8.52380952380952"/>
    <col min="2979" max="2979" width="11.5714285714286"/>
    <col min="2980" max="2980" width="8.52380952380952"/>
    <col min="2981" max="2981" width="11.5714285714286"/>
    <col min="2982" max="2982" width="8.52380952380952"/>
    <col min="2983" max="2983" width="11.5714285714286"/>
    <col min="2984" max="2984" width="8.52380952380952"/>
    <col min="2985" max="2985" width="11.5714285714286"/>
    <col min="2986" max="2986" width="8.52380952380952"/>
    <col min="2987" max="2987" width="11.5714285714286"/>
    <col min="2988" max="2988" width="8.52380952380952"/>
    <col min="2989" max="2989" width="11.5714285714286"/>
    <col min="2990" max="2990" width="8.52380952380952"/>
    <col min="2991" max="2991" width="11.5714285714286"/>
    <col min="2992" max="2992" width="8.52380952380952"/>
    <col min="2993" max="2993" width="11.5714285714286"/>
    <col min="2994" max="2994" width="8.52380952380952"/>
    <col min="2995" max="2995" width="11.5714285714286"/>
    <col min="2996" max="2996" width="8.52380952380952"/>
    <col min="2997" max="2997" width="11.5714285714286"/>
    <col min="2998" max="2998" width="8.52380952380952"/>
    <col min="2999" max="2999" width="11.5714285714286"/>
    <col min="3000" max="3000" width="8.52380952380952"/>
    <col min="3001" max="3001" width="11.5714285714286"/>
    <col min="3002" max="3002" width="11.8571428571429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25</v>
      </c>
      <c r="G2" s="3" t="s">
        <v>16</v>
      </c>
      <c r="H2" s="4">
        <v>43488</v>
      </c>
      <c r="I2" s="3"/>
      <c r="J2" s="3" t="s">
        <v>17</v>
      </c>
      <c r="K2" s="3">
        <v>64523</v>
      </c>
    </row>
    <row r="3" spans="1:1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>
        <v>35</v>
      </c>
      <c r="G3" s="3" t="s">
        <v>23</v>
      </c>
      <c r="H3" s="4">
        <v>43489</v>
      </c>
      <c r="I3" s="3"/>
      <c r="J3" s="3" t="s">
        <v>17</v>
      </c>
      <c r="K3" s="3">
        <v>18000</v>
      </c>
    </row>
    <row r="4" spans="1:11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>
        <v>36</v>
      </c>
      <c r="G4" s="3" t="s">
        <v>23</v>
      </c>
      <c r="H4" s="5" t="s">
        <v>29</v>
      </c>
      <c r="I4" s="3"/>
      <c r="J4" s="3" t="s">
        <v>17</v>
      </c>
      <c r="K4" s="3">
        <v>44882</v>
      </c>
    </row>
    <row r="5" spans="1:11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>
        <v>32</v>
      </c>
      <c r="G5" s="3" t="s">
        <v>16</v>
      </c>
      <c r="H5" s="5" t="s">
        <v>35</v>
      </c>
      <c r="I5" s="3"/>
      <c r="J5" s="3" t="s">
        <v>17</v>
      </c>
      <c r="K5" s="3">
        <v>32671</v>
      </c>
    </row>
    <row r="6" spans="1:11">
      <c r="A6" s="3" t="s">
        <v>36</v>
      </c>
      <c r="B6" s="3" t="s">
        <v>37</v>
      </c>
      <c r="C6" s="3" t="s">
        <v>38</v>
      </c>
      <c r="D6" s="3" t="s">
        <v>14</v>
      </c>
      <c r="E6" s="3" t="s">
        <v>15</v>
      </c>
      <c r="F6" s="3">
        <v>37</v>
      </c>
      <c r="G6" s="3" t="s">
        <v>23</v>
      </c>
      <c r="H6" s="5" t="s">
        <v>39</v>
      </c>
      <c r="I6" s="3"/>
      <c r="J6" s="3" t="s">
        <v>17</v>
      </c>
      <c r="K6" s="3">
        <v>82971</v>
      </c>
    </row>
    <row r="7" spans="1:11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>
        <v>35</v>
      </c>
      <c r="G7" s="3" t="s">
        <v>23</v>
      </c>
      <c r="H7" s="5" t="s">
        <v>45</v>
      </c>
      <c r="I7" s="3"/>
      <c r="J7" s="3" t="s">
        <v>17</v>
      </c>
      <c r="K7" s="3">
        <v>53499</v>
      </c>
    </row>
    <row r="8" spans="1:11">
      <c r="A8" s="3" t="s">
        <v>46</v>
      </c>
      <c r="B8" s="3" t="s">
        <v>47</v>
      </c>
      <c r="C8" s="3" t="s">
        <v>38</v>
      </c>
      <c r="D8" s="3" t="s">
        <v>43</v>
      </c>
      <c r="E8" s="3" t="s">
        <v>48</v>
      </c>
      <c r="F8" s="3">
        <v>37</v>
      </c>
      <c r="G8" s="3" t="s">
        <v>16</v>
      </c>
      <c r="H8" s="5" t="s">
        <v>49</v>
      </c>
      <c r="I8" s="3" t="s">
        <v>50</v>
      </c>
      <c r="J8" s="3" t="s">
        <v>51</v>
      </c>
      <c r="K8" s="3">
        <v>43980</v>
      </c>
    </row>
    <row r="9" spans="1:11">
      <c r="A9" s="3" t="s">
        <v>52</v>
      </c>
      <c r="B9" s="3" t="s">
        <v>31</v>
      </c>
      <c r="C9" s="3" t="s">
        <v>53</v>
      </c>
      <c r="D9" s="3" t="s">
        <v>27</v>
      </c>
      <c r="E9" s="3" t="s">
        <v>54</v>
      </c>
      <c r="F9" s="3">
        <v>40</v>
      </c>
      <c r="G9" s="3" t="s">
        <v>16</v>
      </c>
      <c r="H9" s="5" t="s">
        <v>55</v>
      </c>
      <c r="I9" s="3" t="s">
        <v>56</v>
      </c>
      <c r="J9" s="3" t="s">
        <v>51</v>
      </c>
      <c r="K9" s="3">
        <v>52079</v>
      </c>
    </row>
    <row r="10" spans="1:11">
      <c r="A10" s="3" t="s">
        <v>57</v>
      </c>
      <c r="B10" s="3" t="s">
        <v>58</v>
      </c>
      <c r="C10" s="3" t="s">
        <v>59</v>
      </c>
      <c r="D10" s="3" t="s">
        <v>27</v>
      </c>
      <c r="E10" s="3" t="s">
        <v>28</v>
      </c>
      <c r="F10" s="3">
        <v>39</v>
      </c>
      <c r="G10" s="3" t="s">
        <v>23</v>
      </c>
      <c r="H10" s="5" t="s">
        <v>60</v>
      </c>
      <c r="I10" s="3"/>
      <c r="J10" s="3" t="s">
        <v>17</v>
      </c>
      <c r="K10" s="3">
        <v>56719</v>
      </c>
    </row>
    <row r="11" spans="1:1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>
        <v>37</v>
      </c>
      <c r="G11" s="3" t="s">
        <v>16</v>
      </c>
      <c r="H11" s="5" t="s">
        <v>66</v>
      </c>
      <c r="I11" s="3"/>
      <c r="J11" s="3" t="s">
        <v>17</v>
      </c>
      <c r="K11" s="3">
        <v>30542</v>
      </c>
      <c r="O11">
        <f>SUMIF(E2:E1509,E2,K2:K1509)</f>
        <v>2621179</v>
      </c>
    </row>
    <row r="12" spans="1:15">
      <c r="A12" s="3" t="s">
        <v>67</v>
      </c>
      <c r="B12" s="3" t="s">
        <v>68</v>
      </c>
      <c r="C12" s="3" t="s">
        <v>69</v>
      </c>
      <c r="D12" s="3" t="s">
        <v>43</v>
      </c>
      <c r="E12" s="3" t="s">
        <v>70</v>
      </c>
      <c r="F12" s="3">
        <v>32</v>
      </c>
      <c r="G12" s="3" t="s">
        <v>16</v>
      </c>
      <c r="H12" s="5" t="s">
        <v>71</v>
      </c>
      <c r="I12" s="3"/>
      <c r="J12" s="3" t="s">
        <v>17</v>
      </c>
      <c r="K12" s="3">
        <v>40764</v>
      </c>
      <c r="O12">
        <f>COUNTIF(E2:E1509,E2)</f>
        <v>47</v>
      </c>
    </row>
    <row r="13" spans="1:15">
      <c r="A13" s="3" t="s">
        <v>72</v>
      </c>
      <c r="B13" s="3" t="s">
        <v>73</v>
      </c>
      <c r="C13" s="3" t="s">
        <v>74</v>
      </c>
      <c r="D13" s="3" t="s">
        <v>14</v>
      </c>
      <c r="E13" s="3" t="s">
        <v>75</v>
      </c>
      <c r="F13" s="3">
        <v>21</v>
      </c>
      <c r="G13" s="3" t="s">
        <v>16</v>
      </c>
      <c r="H13" s="5" t="s">
        <v>76</v>
      </c>
      <c r="I13" s="3"/>
      <c r="J13" s="3" t="s">
        <v>17</v>
      </c>
      <c r="K13" s="3">
        <v>68265</v>
      </c>
      <c r="O13" t="str">
        <f>VLOOKUP("E2486",A2:K1509,5,FALSE)</f>
        <v>Operations Executive</v>
      </c>
    </row>
    <row r="14" spans="1:15">
      <c r="A14" s="3" t="s">
        <v>77</v>
      </c>
      <c r="B14" s="3" t="s">
        <v>78</v>
      </c>
      <c r="C14" s="3" t="s">
        <v>53</v>
      </c>
      <c r="D14" s="3" t="s">
        <v>33</v>
      </c>
      <c r="E14" s="3" t="s">
        <v>79</v>
      </c>
      <c r="F14" s="3">
        <v>30</v>
      </c>
      <c r="G14" s="3" t="s">
        <v>23</v>
      </c>
      <c r="H14" s="5" t="s">
        <v>80</v>
      </c>
      <c r="I14" s="3"/>
      <c r="J14" s="3" t="s">
        <v>17</v>
      </c>
      <c r="K14" s="3">
        <v>82462</v>
      </c>
      <c r="O14" t="str">
        <f>_xlfn.XLOOKUP("e2285",A2:A1509,C2:C1509)</f>
        <v>Taylor</v>
      </c>
    </row>
    <row r="15" spans="1:15">
      <c r="A15" s="3" t="s">
        <v>81</v>
      </c>
      <c r="B15" s="3" t="s">
        <v>82</v>
      </c>
      <c r="C15" s="3" t="s">
        <v>83</v>
      </c>
      <c r="D15" s="3" t="s">
        <v>21</v>
      </c>
      <c r="E15" s="3" t="s">
        <v>22</v>
      </c>
      <c r="F15" s="3">
        <v>41</v>
      </c>
      <c r="G15" s="3" t="s">
        <v>16</v>
      </c>
      <c r="H15" s="6">
        <v>43534</v>
      </c>
      <c r="I15" s="3" t="s">
        <v>84</v>
      </c>
      <c r="J15" s="3" t="s">
        <v>51</v>
      </c>
      <c r="K15" s="3">
        <v>56350</v>
      </c>
      <c r="O15" t="str">
        <f>INDEX(E2:E1509,4)</f>
        <v>Accountant</v>
      </c>
    </row>
    <row r="16" spans="1:15">
      <c r="A16" s="3" t="s">
        <v>85</v>
      </c>
      <c r="B16" s="3" t="s">
        <v>86</v>
      </c>
      <c r="C16" s="3" t="s">
        <v>38</v>
      </c>
      <c r="D16" s="3" t="s">
        <v>21</v>
      </c>
      <c r="E16" s="3" t="s">
        <v>87</v>
      </c>
      <c r="F16" s="3">
        <v>28</v>
      </c>
      <c r="G16" s="3" t="s">
        <v>23</v>
      </c>
      <c r="H16" s="5" t="s">
        <v>88</v>
      </c>
      <c r="I16" s="3"/>
      <c r="J16" s="3" t="s">
        <v>17</v>
      </c>
      <c r="K16" s="3">
        <v>50056</v>
      </c>
      <c r="L16">
        <f>ROUND(AVERAGE(F2:F1509),2)</f>
        <v>31.99</v>
      </c>
      <c r="O16">
        <f>MATCH("neha",B2:B1509,0)</f>
        <v>5</v>
      </c>
    </row>
    <row r="17" spans="1:11">
      <c r="A17" s="3" t="s">
        <v>89</v>
      </c>
      <c r="B17" s="3" t="s">
        <v>90</v>
      </c>
      <c r="C17" s="3" t="s">
        <v>38</v>
      </c>
      <c r="D17" s="3" t="s">
        <v>21</v>
      </c>
      <c r="E17" s="3" t="s">
        <v>22</v>
      </c>
      <c r="F17" s="3">
        <v>23</v>
      </c>
      <c r="G17" s="3" t="s">
        <v>16</v>
      </c>
      <c r="H17" s="5" t="s">
        <v>91</v>
      </c>
      <c r="I17" s="3"/>
      <c r="J17" s="3" t="s">
        <v>17</v>
      </c>
      <c r="K17" s="3">
        <v>40332</v>
      </c>
    </row>
    <row r="18" spans="1:11">
      <c r="A18" s="3" t="s">
        <v>92</v>
      </c>
      <c r="B18" s="3" t="s">
        <v>93</v>
      </c>
      <c r="C18" s="3" t="s">
        <v>94</v>
      </c>
      <c r="D18" s="3" t="s">
        <v>21</v>
      </c>
      <c r="E18" s="3" t="s">
        <v>95</v>
      </c>
      <c r="F18" s="3">
        <v>26</v>
      </c>
      <c r="G18" s="3" t="s">
        <v>16</v>
      </c>
      <c r="H18" s="5" t="s">
        <v>96</v>
      </c>
      <c r="I18" s="3"/>
      <c r="J18" s="3" t="s">
        <v>17</v>
      </c>
      <c r="K18" s="3">
        <v>86582</v>
      </c>
    </row>
    <row r="19" spans="1:11">
      <c r="A19" s="3" t="s">
        <v>97</v>
      </c>
      <c r="B19" s="3" t="s">
        <v>98</v>
      </c>
      <c r="C19" s="3" t="s">
        <v>32</v>
      </c>
      <c r="D19" s="3" t="s">
        <v>99</v>
      </c>
      <c r="E19" s="3" t="s">
        <v>34</v>
      </c>
      <c r="F19" s="3">
        <v>44</v>
      </c>
      <c r="G19" s="3" t="s">
        <v>16</v>
      </c>
      <c r="H19" s="5" t="s">
        <v>100</v>
      </c>
      <c r="I19" s="3"/>
      <c r="J19" s="3" t="s">
        <v>17</v>
      </c>
      <c r="K19" s="3">
        <v>63213</v>
      </c>
    </row>
    <row r="20" spans="1:11">
      <c r="A20" s="3" t="s">
        <v>101</v>
      </c>
      <c r="B20" s="3" t="s">
        <v>102</v>
      </c>
      <c r="C20" s="3" t="s">
        <v>103</v>
      </c>
      <c r="D20" s="3" t="s">
        <v>43</v>
      </c>
      <c r="E20" s="3" t="s">
        <v>70</v>
      </c>
      <c r="F20" s="3">
        <v>24</v>
      </c>
      <c r="G20" s="3" t="s">
        <v>16</v>
      </c>
      <c r="H20" s="5" t="s">
        <v>104</v>
      </c>
      <c r="I20" s="3"/>
      <c r="J20" s="3" t="s">
        <v>17</v>
      </c>
      <c r="K20" s="3">
        <v>31360</v>
      </c>
    </row>
    <row r="21" spans="1:11">
      <c r="A21" s="3" t="s">
        <v>105</v>
      </c>
      <c r="B21" s="3" t="s">
        <v>106</v>
      </c>
      <c r="C21" s="3" t="s">
        <v>38</v>
      </c>
      <c r="D21" s="3" t="s">
        <v>43</v>
      </c>
      <c r="E21" s="3" t="s">
        <v>48</v>
      </c>
      <c r="F21" s="3">
        <v>46</v>
      </c>
      <c r="G21" s="3" t="s">
        <v>23</v>
      </c>
      <c r="H21" s="3" t="s">
        <v>107</v>
      </c>
      <c r="I21" s="3"/>
      <c r="J21" s="3" t="s">
        <v>17</v>
      </c>
      <c r="K21" s="3">
        <v>66931</v>
      </c>
    </row>
    <row r="22" spans="1:11">
      <c r="A22" s="3" t="s">
        <v>108</v>
      </c>
      <c r="B22" s="3" t="s">
        <v>109</v>
      </c>
      <c r="C22" s="3" t="s">
        <v>20</v>
      </c>
      <c r="D22" s="3" t="s">
        <v>43</v>
      </c>
      <c r="E22" s="3" t="s">
        <v>44</v>
      </c>
      <c r="F22" s="3">
        <v>31</v>
      </c>
      <c r="G22" s="3" t="s">
        <v>16</v>
      </c>
      <c r="H22" s="3" t="s">
        <v>110</v>
      </c>
      <c r="I22" s="3"/>
      <c r="J22" s="3" t="s">
        <v>17</v>
      </c>
      <c r="K22" s="3">
        <v>70881</v>
      </c>
    </row>
    <row r="23" spans="1:11">
      <c r="A23" s="3" t="s">
        <v>111</v>
      </c>
      <c r="B23" s="3" t="s">
        <v>112</v>
      </c>
      <c r="C23" s="3" t="s">
        <v>113</v>
      </c>
      <c r="D23" s="3" t="s">
        <v>21</v>
      </c>
      <c r="E23" s="3" t="s">
        <v>22</v>
      </c>
      <c r="F23">
        <v>32</v>
      </c>
      <c r="G23" s="3" t="s">
        <v>16</v>
      </c>
      <c r="H23" s="3" t="s">
        <v>114</v>
      </c>
      <c r="I23" s="3"/>
      <c r="J23" s="3" t="s">
        <v>17</v>
      </c>
      <c r="K23" s="3">
        <v>65640</v>
      </c>
    </row>
    <row r="24" spans="1:11">
      <c r="A24" s="3" t="s">
        <v>115</v>
      </c>
      <c r="B24" s="3" t="s">
        <v>109</v>
      </c>
      <c r="C24" s="3" t="s">
        <v>69</v>
      </c>
      <c r="D24" s="3" t="s">
        <v>21</v>
      </c>
      <c r="E24" s="3" t="s">
        <v>95</v>
      </c>
      <c r="F24" s="3">
        <v>28</v>
      </c>
      <c r="G24" s="3" t="s">
        <v>23</v>
      </c>
      <c r="H24" s="3" t="s">
        <v>116</v>
      </c>
      <c r="I24" s="3"/>
      <c r="J24" s="3" t="s">
        <v>17</v>
      </c>
      <c r="K24" s="3">
        <v>72032</v>
      </c>
    </row>
    <row r="25" spans="1:11">
      <c r="A25" s="3" t="s">
        <v>117</v>
      </c>
      <c r="B25" s="3" t="s">
        <v>68</v>
      </c>
      <c r="C25" s="3" t="s">
        <v>74</v>
      </c>
      <c r="D25" s="3" t="s">
        <v>118</v>
      </c>
      <c r="E25" s="3" t="s">
        <v>70</v>
      </c>
      <c r="F25" s="3">
        <v>21</v>
      </c>
      <c r="G25" s="3" t="s">
        <v>16</v>
      </c>
      <c r="H25" s="3" t="s">
        <v>119</v>
      </c>
      <c r="I25" s="3"/>
      <c r="J25" s="3" t="s">
        <v>17</v>
      </c>
      <c r="K25" s="3">
        <v>45586</v>
      </c>
    </row>
    <row r="26" spans="1:11">
      <c r="A26" s="3" t="s">
        <v>120</v>
      </c>
      <c r="B26" s="3" t="s">
        <v>121</v>
      </c>
      <c r="C26" s="3" t="s">
        <v>26</v>
      </c>
      <c r="D26" s="3" t="s">
        <v>27</v>
      </c>
      <c r="E26" s="3" t="s">
        <v>122</v>
      </c>
      <c r="F26" s="3">
        <v>28</v>
      </c>
      <c r="G26" s="3" t="s">
        <v>16</v>
      </c>
      <c r="H26" s="3" t="s">
        <v>123</v>
      </c>
      <c r="I26" s="3"/>
      <c r="J26" s="3" t="s">
        <v>17</v>
      </c>
      <c r="K26" s="3">
        <v>85182</v>
      </c>
    </row>
    <row r="27" spans="1:11">
      <c r="A27" s="3" t="s">
        <v>124</v>
      </c>
      <c r="B27" s="3" t="s">
        <v>125</v>
      </c>
      <c r="C27" s="3" t="s">
        <v>94</v>
      </c>
      <c r="D27" s="3" t="s">
        <v>21</v>
      </c>
      <c r="E27" s="3" t="s">
        <v>95</v>
      </c>
      <c r="F27" s="3">
        <v>29</v>
      </c>
      <c r="G27" s="3" t="s">
        <v>23</v>
      </c>
      <c r="H27" s="3" t="s">
        <v>126</v>
      </c>
      <c r="I27" s="3"/>
      <c r="J27" s="3" t="s">
        <v>17</v>
      </c>
      <c r="K27" s="3">
        <v>81239</v>
      </c>
    </row>
    <row r="28" spans="1:11">
      <c r="A28" s="3" t="s">
        <v>127</v>
      </c>
      <c r="B28" s="3" t="s">
        <v>128</v>
      </c>
      <c r="C28" s="3" t="s">
        <v>129</v>
      </c>
      <c r="D28" s="3" t="s">
        <v>43</v>
      </c>
      <c r="E28" s="3" t="s">
        <v>48</v>
      </c>
      <c r="F28" s="3">
        <v>44</v>
      </c>
      <c r="G28" s="3" t="s">
        <v>16</v>
      </c>
      <c r="H28" s="3" t="s">
        <v>130</v>
      </c>
      <c r="I28" s="3"/>
      <c r="J28" s="3" t="s">
        <v>17</v>
      </c>
      <c r="K28" s="3">
        <v>45104</v>
      </c>
    </row>
    <row r="29" spans="1:11">
      <c r="A29" s="3" t="s">
        <v>131</v>
      </c>
      <c r="B29" s="3" t="s">
        <v>12</v>
      </c>
      <c r="C29" s="3" t="s">
        <v>69</v>
      </c>
      <c r="D29" s="3" t="s">
        <v>27</v>
      </c>
      <c r="E29" s="3" t="s">
        <v>54</v>
      </c>
      <c r="F29" s="3">
        <v>23</v>
      </c>
      <c r="G29" s="3" t="s">
        <v>23</v>
      </c>
      <c r="H29" s="3" t="s">
        <v>132</v>
      </c>
      <c r="I29" s="3"/>
      <c r="J29" s="3" t="s">
        <v>17</v>
      </c>
      <c r="K29" s="3">
        <v>56713</v>
      </c>
    </row>
    <row r="30" spans="1:11">
      <c r="A30" s="3" t="s">
        <v>133</v>
      </c>
      <c r="B30" s="3" t="s">
        <v>134</v>
      </c>
      <c r="C30" s="3" t="s">
        <v>135</v>
      </c>
      <c r="D30" s="3" t="s">
        <v>21</v>
      </c>
      <c r="E30" s="3" t="s">
        <v>95</v>
      </c>
      <c r="F30" s="3">
        <v>28</v>
      </c>
      <c r="G30" s="3" t="s">
        <v>23</v>
      </c>
      <c r="H30" s="3" t="s">
        <v>136</v>
      </c>
      <c r="I30" s="3"/>
      <c r="J30" s="3" t="s">
        <v>17</v>
      </c>
      <c r="K30" s="3">
        <v>76160</v>
      </c>
    </row>
    <row r="31" spans="1:11">
      <c r="A31" s="3" t="s">
        <v>137</v>
      </c>
      <c r="B31" s="3" t="s">
        <v>78</v>
      </c>
      <c r="C31" s="3" t="s">
        <v>38</v>
      </c>
      <c r="D31" s="3" t="s">
        <v>43</v>
      </c>
      <c r="E31" s="3" t="s">
        <v>70</v>
      </c>
      <c r="F31" s="3">
        <v>30</v>
      </c>
      <c r="G31" s="3" t="s">
        <v>16</v>
      </c>
      <c r="H31" s="3" t="s">
        <v>138</v>
      </c>
      <c r="I31" s="3" t="s">
        <v>139</v>
      </c>
      <c r="J31" s="3" t="s">
        <v>51</v>
      </c>
      <c r="K31" s="3">
        <v>87541</v>
      </c>
    </row>
    <row r="32" spans="1:11">
      <c r="A32" s="3" t="s">
        <v>140</v>
      </c>
      <c r="B32" s="3" t="s">
        <v>141</v>
      </c>
      <c r="C32" s="3" t="s">
        <v>94</v>
      </c>
      <c r="D32" s="3" t="s">
        <v>33</v>
      </c>
      <c r="E32" s="3" t="s">
        <v>34</v>
      </c>
      <c r="F32" s="3">
        <v>21</v>
      </c>
      <c r="G32" s="3" t="s">
        <v>23</v>
      </c>
      <c r="H32" s="3" t="s">
        <v>142</v>
      </c>
      <c r="I32" s="3" t="s">
        <v>143</v>
      </c>
      <c r="J32" s="3" t="s">
        <v>51</v>
      </c>
      <c r="K32" s="3">
        <v>42882</v>
      </c>
    </row>
    <row r="33" spans="1:11">
      <c r="A33" s="3" t="s">
        <v>144</v>
      </c>
      <c r="B33" s="3" t="s">
        <v>145</v>
      </c>
      <c r="C33" s="3" t="s">
        <v>146</v>
      </c>
      <c r="D33" s="3" t="s">
        <v>64</v>
      </c>
      <c r="E33" s="3" t="s">
        <v>65</v>
      </c>
      <c r="F33" s="3">
        <v>25</v>
      </c>
      <c r="G33" s="3" t="s">
        <v>16</v>
      </c>
      <c r="H33" s="3" t="s">
        <v>147</v>
      </c>
      <c r="I33" s="3"/>
      <c r="J33" s="3" t="s">
        <v>17</v>
      </c>
      <c r="K33" s="3">
        <v>42163</v>
      </c>
    </row>
    <row r="34" spans="1:11">
      <c r="A34" s="3" t="s">
        <v>148</v>
      </c>
      <c r="B34" s="3" t="s">
        <v>62</v>
      </c>
      <c r="C34" s="3" t="s">
        <v>129</v>
      </c>
      <c r="D34" s="3" t="s">
        <v>43</v>
      </c>
      <c r="E34" s="3" t="s">
        <v>70</v>
      </c>
      <c r="F34" s="3">
        <v>31</v>
      </c>
      <c r="G34" s="3" t="s">
        <v>23</v>
      </c>
      <c r="H34" s="3" t="s">
        <v>149</v>
      </c>
      <c r="I34" s="3" t="s">
        <v>150</v>
      </c>
      <c r="J34" s="3" t="s">
        <v>51</v>
      </c>
      <c r="K34" s="3">
        <v>74373</v>
      </c>
    </row>
    <row r="35" spans="1:11">
      <c r="A35" s="3" t="s">
        <v>151</v>
      </c>
      <c r="B35" s="3" t="s">
        <v>152</v>
      </c>
      <c r="C35" s="3" t="s">
        <v>20</v>
      </c>
      <c r="D35" s="3" t="s">
        <v>27</v>
      </c>
      <c r="E35" s="3" t="s">
        <v>54</v>
      </c>
      <c r="F35" s="3">
        <v>22</v>
      </c>
      <c r="G35" s="3" t="s">
        <v>16</v>
      </c>
      <c r="H35" s="3" t="s">
        <v>153</v>
      </c>
      <c r="I35" s="3"/>
      <c r="J35" s="3" t="s">
        <v>17</v>
      </c>
      <c r="K35" s="3">
        <v>57181</v>
      </c>
    </row>
    <row r="36" spans="1:11">
      <c r="A36" s="3" t="s">
        <v>154</v>
      </c>
      <c r="B36" s="3" t="s">
        <v>12</v>
      </c>
      <c r="C36" s="3" t="s">
        <v>53</v>
      </c>
      <c r="D36" s="3" t="s">
        <v>21</v>
      </c>
      <c r="E36" s="3" t="s">
        <v>155</v>
      </c>
      <c r="F36" s="3">
        <v>22</v>
      </c>
      <c r="G36" s="3" t="s">
        <v>23</v>
      </c>
      <c r="H36" s="3" t="s">
        <v>156</v>
      </c>
      <c r="I36" s="3"/>
      <c r="J36" s="3" t="s">
        <v>17</v>
      </c>
      <c r="K36" s="3">
        <v>58445</v>
      </c>
    </row>
    <row r="37" spans="1:11">
      <c r="A37" s="3" t="s">
        <v>157</v>
      </c>
      <c r="B37" s="3" t="s">
        <v>102</v>
      </c>
      <c r="C37" s="3" t="s">
        <v>69</v>
      </c>
      <c r="D37" s="3" t="s">
        <v>43</v>
      </c>
      <c r="E37" s="3" t="s">
        <v>44</v>
      </c>
      <c r="F37" s="3">
        <v>31</v>
      </c>
      <c r="G37" s="3" t="s">
        <v>16</v>
      </c>
      <c r="H37" s="3" t="s">
        <v>158</v>
      </c>
      <c r="I37" s="3"/>
      <c r="J37" s="3" t="s">
        <v>17</v>
      </c>
      <c r="K37" s="3">
        <v>92621</v>
      </c>
    </row>
    <row r="38" spans="1:11">
      <c r="A38" s="3" t="s">
        <v>159</v>
      </c>
      <c r="B38" s="3" t="s">
        <v>160</v>
      </c>
      <c r="C38" s="3" t="s">
        <v>113</v>
      </c>
      <c r="D38" s="3" t="s">
        <v>64</v>
      </c>
      <c r="E38" s="3" t="s">
        <v>161</v>
      </c>
      <c r="F38" s="3">
        <v>34</v>
      </c>
      <c r="G38" s="3" t="s">
        <v>16</v>
      </c>
      <c r="H38" s="3" t="s">
        <v>162</v>
      </c>
      <c r="I38" s="3"/>
      <c r="J38" s="3" t="s">
        <v>17</v>
      </c>
      <c r="K38" s="3">
        <v>51665</v>
      </c>
    </row>
    <row r="39" spans="1:11">
      <c r="A39" s="3" t="s">
        <v>163</v>
      </c>
      <c r="B39" s="3" t="s">
        <v>31</v>
      </c>
      <c r="C39" s="3" t="s">
        <v>164</v>
      </c>
      <c r="D39" s="3" t="s">
        <v>27</v>
      </c>
      <c r="E39" s="3" t="s">
        <v>122</v>
      </c>
      <c r="F39" s="3">
        <v>23</v>
      </c>
      <c r="G39" s="3" t="s">
        <v>23</v>
      </c>
      <c r="H39" s="3" t="s">
        <v>165</v>
      </c>
      <c r="I39" s="3"/>
      <c r="J39" s="3" t="s">
        <v>17</v>
      </c>
      <c r="K39" s="3">
        <v>83707</v>
      </c>
    </row>
    <row r="40" spans="1:11">
      <c r="A40" s="3" t="s">
        <v>166</v>
      </c>
      <c r="B40" s="3" t="s">
        <v>152</v>
      </c>
      <c r="C40" s="3" t="s">
        <v>26</v>
      </c>
      <c r="D40" s="3" t="s">
        <v>118</v>
      </c>
      <c r="E40" s="3" t="s">
        <v>44</v>
      </c>
      <c r="F40" s="3">
        <v>27</v>
      </c>
      <c r="G40" s="3" t="s">
        <v>23</v>
      </c>
      <c r="H40" s="3" t="s">
        <v>167</v>
      </c>
      <c r="I40" s="3"/>
      <c r="J40" s="3" t="s">
        <v>17</v>
      </c>
      <c r="K40" s="3">
        <v>51953</v>
      </c>
    </row>
    <row r="41" spans="1:11">
      <c r="A41" s="3" t="s">
        <v>168</v>
      </c>
      <c r="B41" s="3" t="s">
        <v>106</v>
      </c>
      <c r="C41" s="3" t="s">
        <v>169</v>
      </c>
      <c r="D41" s="3" t="s">
        <v>43</v>
      </c>
      <c r="E41" s="3" t="s">
        <v>44</v>
      </c>
      <c r="F41" s="3">
        <v>24</v>
      </c>
      <c r="G41" s="3" t="s">
        <v>23</v>
      </c>
      <c r="H41" s="3" t="s">
        <v>170</v>
      </c>
      <c r="I41" s="3"/>
      <c r="J41" s="3" t="s">
        <v>17</v>
      </c>
      <c r="K41" s="3">
        <v>75142</v>
      </c>
    </row>
    <row r="42" spans="1:11">
      <c r="A42" s="3" t="s">
        <v>171</v>
      </c>
      <c r="B42" s="3" t="s">
        <v>47</v>
      </c>
      <c r="C42" s="3" t="s">
        <v>32</v>
      </c>
      <c r="D42" s="3" t="s">
        <v>14</v>
      </c>
      <c r="E42" s="3" t="s">
        <v>75</v>
      </c>
      <c r="F42" s="3">
        <v>36</v>
      </c>
      <c r="G42" s="3" t="s">
        <v>16</v>
      </c>
      <c r="H42" s="3" t="s">
        <v>172</v>
      </c>
      <c r="I42" s="3"/>
      <c r="J42" s="3" t="s">
        <v>17</v>
      </c>
      <c r="K42" s="3">
        <v>30641</v>
      </c>
    </row>
    <row r="43" spans="1:11">
      <c r="A43" s="3" t="s">
        <v>173</v>
      </c>
      <c r="B43" s="3" t="s">
        <v>58</v>
      </c>
      <c r="C43" s="3" t="s">
        <v>174</v>
      </c>
      <c r="D43" s="3" t="s">
        <v>27</v>
      </c>
      <c r="E43" s="3" t="s">
        <v>28</v>
      </c>
      <c r="F43" s="3">
        <v>21</v>
      </c>
      <c r="G43" s="3" t="s">
        <v>16</v>
      </c>
      <c r="H43" s="3" t="s">
        <v>175</v>
      </c>
      <c r="I43" s="3"/>
      <c r="J43" s="3" t="s">
        <v>17</v>
      </c>
      <c r="K43" s="3">
        <v>45341</v>
      </c>
    </row>
    <row r="44" spans="1:11">
      <c r="A44" s="3" t="s">
        <v>176</v>
      </c>
      <c r="B44" s="3" t="s">
        <v>125</v>
      </c>
      <c r="C44" s="3" t="s">
        <v>177</v>
      </c>
      <c r="D44" s="3" t="s">
        <v>64</v>
      </c>
      <c r="E44" s="3" t="s">
        <v>161</v>
      </c>
      <c r="F44" s="3">
        <v>34</v>
      </c>
      <c r="G44" s="3" t="s">
        <v>23</v>
      </c>
      <c r="H44" s="3" t="s">
        <v>178</v>
      </c>
      <c r="I44" s="3"/>
      <c r="J44" s="3" t="s">
        <v>17</v>
      </c>
      <c r="K44" s="3">
        <v>40008</v>
      </c>
    </row>
    <row r="45" spans="1:11">
      <c r="A45" s="3" t="s">
        <v>179</v>
      </c>
      <c r="B45" s="3" t="s">
        <v>31</v>
      </c>
      <c r="C45" s="3" t="s">
        <v>146</v>
      </c>
      <c r="D45" s="3" t="s">
        <v>33</v>
      </c>
      <c r="E45" s="3" t="s">
        <v>79</v>
      </c>
      <c r="F45" s="3">
        <v>44</v>
      </c>
      <c r="G45" s="3" t="s">
        <v>16</v>
      </c>
      <c r="H45" s="3" t="s">
        <v>180</v>
      </c>
      <c r="I45" s="3"/>
      <c r="J45" s="3" t="s">
        <v>17</v>
      </c>
      <c r="K45" s="3">
        <v>41156</v>
      </c>
    </row>
    <row r="46" spans="1:11">
      <c r="A46" s="3" t="s">
        <v>181</v>
      </c>
      <c r="B46" s="3" t="s">
        <v>93</v>
      </c>
      <c r="C46" s="3" t="s">
        <v>69</v>
      </c>
      <c r="D46" s="3" t="s">
        <v>14</v>
      </c>
      <c r="E46" s="3" t="s">
        <v>15</v>
      </c>
      <c r="F46" s="3">
        <v>27</v>
      </c>
      <c r="G46" s="3" t="s">
        <v>16</v>
      </c>
      <c r="H46" s="3" t="s">
        <v>182</v>
      </c>
      <c r="I46" s="3"/>
      <c r="J46" s="3" t="s">
        <v>17</v>
      </c>
      <c r="K46" s="3">
        <v>49016</v>
      </c>
    </row>
    <row r="47" spans="1:11">
      <c r="A47" s="3" t="s">
        <v>183</v>
      </c>
      <c r="B47" s="3" t="s">
        <v>68</v>
      </c>
      <c r="C47" s="3" t="s">
        <v>146</v>
      </c>
      <c r="D47" s="3" t="s">
        <v>27</v>
      </c>
      <c r="E47" s="3" t="s">
        <v>28</v>
      </c>
      <c r="F47" s="3">
        <v>33</v>
      </c>
      <c r="G47" s="3" t="s">
        <v>16</v>
      </c>
      <c r="H47" s="3" t="s">
        <v>184</v>
      </c>
      <c r="I47" s="3"/>
      <c r="J47" s="3" t="s">
        <v>17</v>
      </c>
      <c r="K47" s="3">
        <v>88470</v>
      </c>
    </row>
    <row r="48" spans="1:11">
      <c r="A48" s="3" t="s">
        <v>185</v>
      </c>
      <c r="B48" s="3" t="s">
        <v>186</v>
      </c>
      <c r="C48" s="3" t="s">
        <v>113</v>
      </c>
      <c r="D48" s="3" t="s">
        <v>187</v>
      </c>
      <c r="E48" s="3" t="s">
        <v>22</v>
      </c>
      <c r="F48" s="3">
        <v>45</v>
      </c>
      <c r="G48" s="3" t="s">
        <v>16</v>
      </c>
      <c r="H48" s="3" t="s">
        <v>188</v>
      </c>
      <c r="I48" s="3"/>
      <c r="J48" s="3" t="s">
        <v>17</v>
      </c>
      <c r="K48" s="3">
        <v>69520</v>
      </c>
    </row>
    <row r="49" spans="1:11">
      <c r="A49" s="3" t="s">
        <v>189</v>
      </c>
      <c r="B49" s="3" t="s">
        <v>112</v>
      </c>
      <c r="C49" s="3" t="s">
        <v>38</v>
      </c>
      <c r="D49" s="3" t="s">
        <v>33</v>
      </c>
      <c r="E49" s="3" t="s">
        <v>79</v>
      </c>
      <c r="F49" s="3">
        <v>38</v>
      </c>
      <c r="G49" s="3" t="s">
        <v>16</v>
      </c>
      <c r="H49" s="3" t="s">
        <v>190</v>
      </c>
      <c r="I49" s="3"/>
      <c r="J49" s="3" t="s">
        <v>17</v>
      </c>
      <c r="K49" s="3">
        <v>33606</v>
      </c>
    </row>
    <row r="50" spans="1:11">
      <c r="A50" s="3" t="s">
        <v>191</v>
      </c>
      <c r="B50" s="3" t="s">
        <v>186</v>
      </c>
      <c r="C50" s="3" t="s">
        <v>63</v>
      </c>
      <c r="D50" s="3" t="s">
        <v>33</v>
      </c>
      <c r="E50" s="3" t="s">
        <v>34</v>
      </c>
      <c r="F50" s="3">
        <v>24</v>
      </c>
      <c r="G50" s="3" t="s">
        <v>23</v>
      </c>
      <c r="H50" s="3" t="s">
        <v>192</v>
      </c>
      <c r="I50" s="3"/>
      <c r="J50" s="3" t="s">
        <v>17</v>
      </c>
      <c r="K50" s="3">
        <v>32171</v>
      </c>
    </row>
    <row r="51" spans="1:11">
      <c r="A51" s="3" t="s">
        <v>193</v>
      </c>
      <c r="B51" s="3" t="s">
        <v>112</v>
      </c>
      <c r="C51" s="3" t="s">
        <v>32</v>
      </c>
      <c r="D51" s="3" t="s">
        <v>27</v>
      </c>
      <c r="E51" s="3" t="s">
        <v>122</v>
      </c>
      <c r="F51" s="3">
        <v>30</v>
      </c>
      <c r="G51" s="3" t="s">
        <v>23</v>
      </c>
      <c r="H51" s="3" t="s">
        <v>194</v>
      </c>
      <c r="I51" s="3"/>
      <c r="J51" s="3" t="s">
        <v>17</v>
      </c>
      <c r="K51" s="3">
        <v>58951</v>
      </c>
    </row>
    <row r="52" spans="1:11">
      <c r="A52" s="3" t="s">
        <v>195</v>
      </c>
      <c r="B52" s="3" t="s">
        <v>141</v>
      </c>
      <c r="C52" s="3" t="s">
        <v>83</v>
      </c>
      <c r="D52" s="3" t="s">
        <v>21</v>
      </c>
      <c r="E52" s="3" t="s">
        <v>155</v>
      </c>
      <c r="F52" s="3">
        <v>29</v>
      </c>
      <c r="G52" s="3" t="s">
        <v>23</v>
      </c>
      <c r="H52" s="3" t="s">
        <v>196</v>
      </c>
      <c r="I52" s="3"/>
      <c r="J52" s="3" t="s">
        <v>17</v>
      </c>
      <c r="K52" s="3">
        <v>64977</v>
      </c>
    </row>
    <row r="53" spans="1:11">
      <c r="A53" s="3" t="s">
        <v>197</v>
      </c>
      <c r="B53" s="3" t="s">
        <v>145</v>
      </c>
      <c r="C53" s="3" t="s">
        <v>32</v>
      </c>
      <c r="D53" s="3" t="s">
        <v>21</v>
      </c>
      <c r="E53" s="3" t="s">
        <v>22</v>
      </c>
      <c r="F53" s="3">
        <v>45</v>
      </c>
      <c r="G53" s="3" t="s">
        <v>23</v>
      </c>
      <c r="H53" s="3" t="s">
        <v>198</v>
      </c>
      <c r="I53" s="3"/>
      <c r="J53" s="3" t="s">
        <v>17</v>
      </c>
      <c r="K53" s="3">
        <v>74940</v>
      </c>
    </row>
    <row r="54" spans="1:11">
      <c r="A54" s="3" t="s">
        <v>199</v>
      </c>
      <c r="B54" s="3" t="s">
        <v>73</v>
      </c>
      <c r="C54" s="3" t="s">
        <v>69</v>
      </c>
      <c r="D54" s="3" t="s">
        <v>43</v>
      </c>
      <c r="E54" s="3" t="s">
        <v>48</v>
      </c>
      <c r="F54" s="3">
        <v>33</v>
      </c>
      <c r="G54" s="3" t="s">
        <v>16</v>
      </c>
      <c r="H54" s="3" t="s">
        <v>200</v>
      </c>
      <c r="I54" s="3"/>
      <c r="J54" s="3" t="s">
        <v>17</v>
      </c>
      <c r="K54" s="3">
        <v>50816</v>
      </c>
    </row>
    <row r="55" spans="1:11">
      <c r="A55" s="3" t="s">
        <v>201</v>
      </c>
      <c r="B55" s="3" t="s">
        <v>134</v>
      </c>
      <c r="C55" s="3" t="s">
        <v>63</v>
      </c>
      <c r="D55" s="3" t="s">
        <v>43</v>
      </c>
      <c r="E55" s="3" t="s">
        <v>44</v>
      </c>
      <c r="F55" s="3">
        <v>31</v>
      </c>
      <c r="G55" s="3" t="s">
        <v>16</v>
      </c>
      <c r="H55" s="3" t="s">
        <v>202</v>
      </c>
      <c r="I55" s="3" t="s">
        <v>203</v>
      </c>
      <c r="J55" s="3" t="s">
        <v>51</v>
      </c>
      <c r="K55" s="3">
        <v>48339</v>
      </c>
    </row>
    <row r="56" spans="1:11">
      <c r="A56" s="3" t="s">
        <v>204</v>
      </c>
      <c r="B56" s="3" t="s">
        <v>78</v>
      </c>
      <c r="C56" s="3" t="s">
        <v>205</v>
      </c>
      <c r="D56" s="3" t="s">
        <v>27</v>
      </c>
      <c r="E56" s="3" t="s">
        <v>54</v>
      </c>
      <c r="F56" s="3">
        <v>23</v>
      </c>
      <c r="G56" s="3" t="s">
        <v>23</v>
      </c>
      <c r="H56" s="3" t="s">
        <v>206</v>
      </c>
      <c r="I56" s="3"/>
      <c r="J56" s="3" t="s">
        <v>17</v>
      </c>
      <c r="K56" s="3">
        <v>45133</v>
      </c>
    </row>
    <row r="57" spans="1:11">
      <c r="A57" s="3" t="s">
        <v>207</v>
      </c>
      <c r="B57" s="3" t="s">
        <v>12</v>
      </c>
      <c r="C57" s="3" t="s">
        <v>94</v>
      </c>
      <c r="D57" s="3" t="s">
        <v>21</v>
      </c>
      <c r="E57" s="3" t="s">
        <v>155</v>
      </c>
      <c r="F57" s="3">
        <v>21</v>
      </c>
      <c r="G57" s="3" t="s">
        <v>23</v>
      </c>
      <c r="H57" s="3" t="s">
        <v>208</v>
      </c>
      <c r="I57" s="3"/>
      <c r="J57" s="3" t="s">
        <v>17</v>
      </c>
      <c r="K57" s="3">
        <v>68683</v>
      </c>
    </row>
    <row r="58" spans="1:11">
      <c r="A58" s="3" t="s">
        <v>209</v>
      </c>
      <c r="B58" s="3" t="s">
        <v>125</v>
      </c>
      <c r="C58" s="3" t="s">
        <v>169</v>
      </c>
      <c r="D58" s="3" t="s">
        <v>33</v>
      </c>
      <c r="E58" s="3" t="s">
        <v>79</v>
      </c>
      <c r="F58" s="3">
        <v>30</v>
      </c>
      <c r="G58" s="3" t="s">
        <v>23</v>
      </c>
      <c r="H58" s="3" t="s">
        <v>210</v>
      </c>
      <c r="I58" s="3" t="s">
        <v>211</v>
      </c>
      <c r="J58" s="3" t="s">
        <v>51</v>
      </c>
      <c r="K58" s="3">
        <v>33555</v>
      </c>
    </row>
    <row r="59" spans="1:11">
      <c r="A59" s="3" t="s">
        <v>212</v>
      </c>
      <c r="B59" s="3" t="s">
        <v>128</v>
      </c>
      <c r="C59" s="3" t="s">
        <v>213</v>
      </c>
      <c r="D59" s="3" t="s">
        <v>64</v>
      </c>
      <c r="E59" s="3" t="s">
        <v>65</v>
      </c>
      <c r="F59" s="3">
        <v>24</v>
      </c>
      <c r="G59" s="3" t="s">
        <v>23</v>
      </c>
      <c r="H59" s="3" t="s">
        <v>214</v>
      </c>
      <c r="I59" s="3"/>
      <c r="J59" s="3" t="s">
        <v>17</v>
      </c>
      <c r="K59" s="3">
        <v>65667</v>
      </c>
    </row>
    <row r="60" spans="1:11">
      <c r="A60" s="3" t="s">
        <v>215</v>
      </c>
      <c r="B60" s="3" t="s">
        <v>216</v>
      </c>
      <c r="C60" s="3" t="s">
        <v>213</v>
      </c>
      <c r="D60" s="3" t="s">
        <v>27</v>
      </c>
      <c r="E60" s="3" t="s">
        <v>122</v>
      </c>
      <c r="F60" s="3">
        <v>36</v>
      </c>
      <c r="G60" s="3" t="s">
        <v>23</v>
      </c>
      <c r="H60" s="3" t="s">
        <v>217</v>
      </c>
      <c r="I60" s="3"/>
      <c r="J60" s="3" t="s">
        <v>17</v>
      </c>
      <c r="K60" s="3">
        <v>70183</v>
      </c>
    </row>
    <row r="61" spans="1:11">
      <c r="A61" s="3" t="s">
        <v>218</v>
      </c>
      <c r="B61" s="3" t="s">
        <v>125</v>
      </c>
      <c r="C61" s="3" t="s">
        <v>146</v>
      </c>
      <c r="D61" s="3" t="s">
        <v>64</v>
      </c>
      <c r="E61" s="3" t="s">
        <v>65</v>
      </c>
      <c r="F61" s="3">
        <v>21</v>
      </c>
      <c r="G61" s="3" t="s">
        <v>16</v>
      </c>
      <c r="H61" s="3" t="s">
        <v>219</v>
      </c>
      <c r="I61" s="3"/>
      <c r="J61" s="3" t="s">
        <v>17</v>
      </c>
      <c r="K61" s="3">
        <v>39111</v>
      </c>
    </row>
    <row r="62" spans="1:11">
      <c r="A62" s="3" t="s">
        <v>220</v>
      </c>
      <c r="B62" s="3" t="s">
        <v>121</v>
      </c>
      <c r="C62" s="3" t="s">
        <v>59</v>
      </c>
      <c r="D62" s="3" t="s">
        <v>21</v>
      </c>
      <c r="E62" s="3" t="s">
        <v>22</v>
      </c>
      <c r="F62" s="3">
        <v>32</v>
      </c>
      <c r="G62" s="3" t="s">
        <v>16</v>
      </c>
      <c r="H62" s="3" t="s">
        <v>221</v>
      </c>
      <c r="I62" s="3"/>
      <c r="J62" s="3" t="s">
        <v>17</v>
      </c>
      <c r="K62" s="3">
        <v>71098</v>
      </c>
    </row>
    <row r="63" spans="1:11">
      <c r="A63" s="3" t="s">
        <v>222</v>
      </c>
      <c r="B63" s="3" t="s">
        <v>223</v>
      </c>
      <c r="C63" s="3" t="s">
        <v>213</v>
      </c>
      <c r="D63" s="3" t="s">
        <v>33</v>
      </c>
      <c r="E63" s="3" t="s">
        <v>34</v>
      </c>
      <c r="F63" s="3">
        <v>32</v>
      </c>
      <c r="G63" s="3" t="s">
        <v>23</v>
      </c>
      <c r="H63" s="3" t="s">
        <v>224</v>
      </c>
      <c r="I63" s="3"/>
      <c r="J63" s="3" t="s">
        <v>17</v>
      </c>
      <c r="K63" s="3">
        <v>42243</v>
      </c>
    </row>
    <row r="64" spans="1:11">
      <c r="A64" s="3" t="s">
        <v>225</v>
      </c>
      <c r="B64" s="3" t="s">
        <v>226</v>
      </c>
      <c r="C64" s="3" t="s">
        <v>103</v>
      </c>
      <c r="D64" s="3" t="s">
        <v>43</v>
      </c>
      <c r="E64" s="3" t="s">
        <v>44</v>
      </c>
      <c r="F64" s="3">
        <v>38</v>
      </c>
      <c r="G64" s="3" t="s">
        <v>16</v>
      </c>
      <c r="H64" s="3" t="s">
        <v>227</v>
      </c>
      <c r="I64" s="3"/>
      <c r="J64" s="3" t="s">
        <v>17</v>
      </c>
      <c r="K64" s="3">
        <v>58159</v>
      </c>
    </row>
    <row r="65" spans="1:11">
      <c r="A65" s="3" t="s">
        <v>228</v>
      </c>
      <c r="B65" s="3" t="s">
        <v>25</v>
      </c>
      <c r="C65" s="3" t="s">
        <v>83</v>
      </c>
      <c r="D65" s="3" t="s">
        <v>27</v>
      </c>
      <c r="E65" s="3" t="s">
        <v>28</v>
      </c>
      <c r="F65" s="3">
        <v>25</v>
      </c>
      <c r="G65" s="3" t="s">
        <v>16</v>
      </c>
      <c r="H65" s="3" t="s">
        <v>229</v>
      </c>
      <c r="I65" s="3" t="s">
        <v>230</v>
      </c>
      <c r="J65" s="3" t="s">
        <v>51</v>
      </c>
      <c r="K65" s="3">
        <v>38638</v>
      </c>
    </row>
    <row r="66" spans="1:11">
      <c r="A66" s="3" t="s">
        <v>231</v>
      </c>
      <c r="B66" s="3" t="s">
        <v>102</v>
      </c>
      <c r="C66" s="3" t="s">
        <v>94</v>
      </c>
      <c r="D66" s="3" t="s">
        <v>14</v>
      </c>
      <c r="E66" s="3" t="s">
        <v>75</v>
      </c>
      <c r="F66" s="3">
        <v>31</v>
      </c>
      <c r="G66" s="3" t="s">
        <v>16</v>
      </c>
      <c r="H66" s="3" t="s">
        <v>232</v>
      </c>
      <c r="I66" s="3"/>
      <c r="J66" s="3" t="s">
        <v>17</v>
      </c>
      <c r="K66" s="3">
        <v>51140</v>
      </c>
    </row>
    <row r="67" spans="1:11">
      <c r="A67" s="3" t="s">
        <v>233</v>
      </c>
      <c r="B67" s="3" t="s">
        <v>134</v>
      </c>
      <c r="C67" s="3" t="s">
        <v>13</v>
      </c>
      <c r="D67" s="3" t="s">
        <v>27</v>
      </c>
      <c r="E67" s="3" t="s">
        <v>122</v>
      </c>
      <c r="F67" s="3">
        <v>44</v>
      </c>
      <c r="G67" s="3" t="s">
        <v>23</v>
      </c>
      <c r="H67" s="3" t="s">
        <v>234</v>
      </c>
      <c r="I67" s="3"/>
      <c r="J67" s="3" t="s">
        <v>17</v>
      </c>
      <c r="K67" s="3">
        <v>64244</v>
      </c>
    </row>
    <row r="68" spans="1:11">
      <c r="A68" s="3" t="s">
        <v>235</v>
      </c>
      <c r="B68" s="3" t="s">
        <v>216</v>
      </c>
      <c r="C68" s="3" t="s">
        <v>42</v>
      </c>
      <c r="D68" s="3" t="s">
        <v>27</v>
      </c>
      <c r="E68" s="3" t="s">
        <v>54</v>
      </c>
      <c r="F68" s="3">
        <v>40</v>
      </c>
      <c r="G68" s="3" t="s">
        <v>16</v>
      </c>
      <c r="H68" s="3" t="s">
        <v>236</v>
      </c>
      <c r="I68" s="3"/>
      <c r="J68" s="3" t="s">
        <v>17</v>
      </c>
      <c r="K68" s="3">
        <v>71393</v>
      </c>
    </row>
    <row r="69" spans="1:11">
      <c r="A69" s="3" t="s">
        <v>237</v>
      </c>
      <c r="B69" s="3" t="s">
        <v>238</v>
      </c>
      <c r="C69" s="3" t="s">
        <v>113</v>
      </c>
      <c r="D69" s="3" t="s">
        <v>239</v>
      </c>
      <c r="E69" s="3" t="s">
        <v>28</v>
      </c>
      <c r="F69" s="3">
        <v>46</v>
      </c>
      <c r="G69" s="3" t="s">
        <v>16</v>
      </c>
      <c r="H69" s="3" t="s">
        <v>240</v>
      </c>
      <c r="I69" s="3"/>
      <c r="J69" s="3" t="s">
        <v>17</v>
      </c>
      <c r="K69" s="3">
        <v>56626</v>
      </c>
    </row>
    <row r="70" spans="1:11">
      <c r="A70" s="3" t="s">
        <v>241</v>
      </c>
      <c r="B70" s="3" t="s">
        <v>125</v>
      </c>
      <c r="C70" s="3" t="s">
        <v>177</v>
      </c>
      <c r="D70" s="3" t="s">
        <v>27</v>
      </c>
      <c r="E70" s="3" t="s">
        <v>28</v>
      </c>
      <c r="F70" s="3">
        <v>22</v>
      </c>
      <c r="G70" s="3" t="s">
        <v>16</v>
      </c>
      <c r="H70" s="3" t="s">
        <v>242</v>
      </c>
      <c r="I70" s="3"/>
      <c r="J70" s="3" t="s">
        <v>17</v>
      </c>
      <c r="K70" s="3">
        <v>52019</v>
      </c>
    </row>
    <row r="71" spans="1:11">
      <c r="A71" s="3" t="s">
        <v>243</v>
      </c>
      <c r="B71" s="3" t="s">
        <v>90</v>
      </c>
      <c r="C71" s="3" t="s">
        <v>74</v>
      </c>
      <c r="D71" s="3" t="s">
        <v>33</v>
      </c>
      <c r="E71" s="3" t="s">
        <v>34</v>
      </c>
      <c r="F71" s="3">
        <v>35</v>
      </c>
      <c r="G71" s="3" t="s">
        <v>23</v>
      </c>
      <c r="H71" s="3" t="s">
        <v>244</v>
      </c>
      <c r="I71" s="3" t="s">
        <v>245</v>
      </c>
      <c r="J71" s="3" t="s">
        <v>51</v>
      </c>
      <c r="K71" s="3">
        <v>49956</v>
      </c>
    </row>
    <row r="72" spans="1:11">
      <c r="A72" s="3" t="s">
        <v>246</v>
      </c>
      <c r="B72" s="3" t="s">
        <v>106</v>
      </c>
      <c r="C72" s="3" t="s">
        <v>174</v>
      </c>
      <c r="D72" s="3" t="s">
        <v>21</v>
      </c>
      <c r="E72" s="3" t="s">
        <v>22</v>
      </c>
      <c r="F72" s="3">
        <v>25</v>
      </c>
      <c r="G72" s="3" t="s">
        <v>16</v>
      </c>
      <c r="H72" s="3" t="s">
        <v>247</v>
      </c>
      <c r="I72" s="3"/>
      <c r="J72" s="3" t="s">
        <v>17</v>
      </c>
      <c r="K72" s="3">
        <v>61512</v>
      </c>
    </row>
    <row r="73" spans="1:11">
      <c r="A73" s="3" t="s">
        <v>248</v>
      </c>
      <c r="B73" s="3" t="s">
        <v>109</v>
      </c>
      <c r="C73" s="3" t="s">
        <v>249</v>
      </c>
      <c r="D73" s="3" t="s">
        <v>21</v>
      </c>
      <c r="E73" s="3" t="s">
        <v>95</v>
      </c>
      <c r="F73" s="3">
        <v>42</v>
      </c>
      <c r="G73" s="3" t="s">
        <v>16</v>
      </c>
      <c r="H73" s="3" t="s">
        <v>250</v>
      </c>
      <c r="I73" s="3"/>
      <c r="J73" s="3" t="s">
        <v>17</v>
      </c>
      <c r="K73" s="3">
        <v>31625</v>
      </c>
    </row>
    <row r="74" spans="1:11">
      <c r="A74" s="3" t="s">
        <v>251</v>
      </c>
      <c r="B74" s="3" t="s">
        <v>252</v>
      </c>
      <c r="C74" s="3" t="s">
        <v>69</v>
      </c>
      <c r="D74" s="3" t="s">
        <v>43</v>
      </c>
      <c r="E74" s="3" t="s">
        <v>70</v>
      </c>
      <c r="F74" s="3">
        <v>39</v>
      </c>
      <c r="G74" s="3" t="s">
        <v>16</v>
      </c>
      <c r="H74" s="3" t="s">
        <v>253</v>
      </c>
      <c r="I74" s="3"/>
      <c r="J74" s="3" t="s">
        <v>17</v>
      </c>
      <c r="K74" s="3">
        <v>69086</v>
      </c>
    </row>
    <row r="75" spans="1:11">
      <c r="A75" s="3" t="s">
        <v>254</v>
      </c>
      <c r="B75" s="3" t="s">
        <v>62</v>
      </c>
      <c r="C75" s="3" t="s">
        <v>113</v>
      </c>
      <c r="D75" s="3" t="s">
        <v>43</v>
      </c>
      <c r="E75" s="3" t="s">
        <v>44</v>
      </c>
      <c r="F75" s="3">
        <v>34</v>
      </c>
      <c r="G75" s="3" t="s">
        <v>16</v>
      </c>
      <c r="H75" s="3" t="s">
        <v>255</v>
      </c>
      <c r="I75" s="3" t="s">
        <v>256</v>
      </c>
      <c r="J75" s="3" t="s">
        <v>51</v>
      </c>
      <c r="K75" s="3">
        <v>38297</v>
      </c>
    </row>
    <row r="76" spans="1:11">
      <c r="A76" s="3" t="s">
        <v>257</v>
      </c>
      <c r="B76" s="3" t="s">
        <v>141</v>
      </c>
      <c r="C76" s="3" t="s">
        <v>38</v>
      </c>
      <c r="D76" s="3" t="s">
        <v>21</v>
      </c>
      <c r="E76" s="3" t="s">
        <v>87</v>
      </c>
      <c r="F76" s="3">
        <v>22</v>
      </c>
      <c r="G76" s="3" t="s">
        <v>16</v>
      </c>
      <c r="H76" s="3" t="s">
        <v>258</v>
      </c>
      <c r="I76" s="3" t="s">
        <v>259</v>
      </c>
      <c r="J76" s="3" t="s">
        <v>51</v>
      </c>
      <c r="K76" s="3">
        <v>66868</v>
      </c>
    </row>
    <row r="77" spans="1:11">
      <c r="A77" s="3" t="s">
        <v>260</v>
      </c>
      <c r="B77" s="3" t="s">
        <v>58</v>
      </c>
      <c r="C77" s="3" t="s">
        <v>53</v>
      </c>
      <c r="D77" s="3" t="s">
        <v>43</v>
      </c>
      <c r="E77" s="3" t="s">
        <v>48</v>
      </c>
      <c r="F77" s="3">
        <v>25</v>
      </c>
      <c r="G77" s="3" t="s">
        <v>16</v>
      </c>
      <c r="H77" s="3" t="s">
        <v>261</v>
      </c>
      <c r="I77" s="3"/>
      <c r="J77" s="3" t="s">
        <v>17</v>
      </c>
      <c r="K77" s="3">
        <v>49009</v>
      </c>
    </row>
    <row r="78" spans="1:11">
      <c r="A78" s="3" t="s">
        <v>262</v>
      </c>
      <c r="B78" s="3" t="s">
        <v>263</v>
      </c>
      <c r="C78" s="3" t="s">
        <v>13</v>
      </c>
      <c r="D78" s="3" t="s">
        <v>43</v>
      </c>
      <c r="E78" s="3" t="s">
        <v>48</v>
      </c>
      <c r="F78" s="3">
        <v>25</v>
      </c>
      <c r="G78" s="3" t="s">
        <v>23</v>
      </c>
      <c r="H78" s="3" t="s">
        <v>264</v>
      </c>
      <c r="I78" s="3"/>
      <c r="J78" s="3" t="s">
        <v>17</v>
      </c>
      <c r="K78" s="3">
        <v>77150</v>
      </c>
    </row>
    <row r="79" spans="1:11">
      <c r="A79" s="3" t="s">
        <v>265</v>
      </c>
      <c r="B79" s="3" t="s">
        <v>25</v>
      </c>
      <c r="C79" s="3" t="s">
        <v>103</v>
      </c>
      <c r="D79" s="3" t="s">
        <v>64</v>
      </c>
      <c r="E79" s="3" t="s">
        <v>266</v>
      </c>
      <c r="F79" s="3">
        <v>21</v>
      </c>
      <c r="G79" s="3" t="s">
        <v>16</v>
      </c>
      <c r="H79" s="3" t="s">
        <v>267</v>
      </c>
      <c r="I79" s="3"/>
      <c r="J79" s="3" t="s">
        <v>17</v>
      </c>
      <c r="K79" s="3">
        <v>24104</v>
      </c>
    </row>
    <row r="80" spans="1:11">
      <c r="A80" s="3" t="s">
        <v>268</v>
      </c>
      <c r="B80" s="3" t="s">
        <v>121</v>
      </c>
      <c r="C80" s="3" t="s">
        <v>177</v>
      </c>
      <c r="D80" s="3" t="s">
        <v>43</v>
      </c>
      <c r="E80" s="3" t="s">
        <v>70</v>
      </c>
      <c r="F80" s="3">
        <v>34</v>
      </c>
      <c r="G80" s="3" t="s">
        <v>16</v>
      </c>
      <c r="H80" s="3" t="s">
        <v>269</v>
      </c>
      <c r="I80" s="3"/>
      <c r="J80" s="3" t="s">
        <v>17</v>
      </c>
      <c r="K80" s="3">
        <v>78330</v>
      </c>
    </row>
    <row r="81" spans="1:11">
      <c r="A81" s="3" t="s">
        <v>270</v>
      </c>
      <c r="B81" s="3" t="s">
        <v>86</v>
      </c>
      <c r="C81" s="3" t="s">
        <v>20</v>
      </c>
      <c r="D81" s="3" t="s">
        <v>33</v>
      </c>
      <c r="E81" s="3" t="s">
        <v>79</v>
      </c>
      <c r="F81" s="3">
        <v>26</v>
      </c>
      <c r="G81" s="3" t="s">
        <v>16</v>
      </c>
      <c r="H81" s="3" t="s">
        <v>271</v>
      </c>
      <c r="I81" s="3"/>
      <c r="J81" s="3" t="s">
        <v>17</v>
      </c>
      <c r="K81" s="3">
        <v>51800</v>
      </c>
    </row>
    <row r="82" spans="1:11">
      <c r="A82" s="3" t="s">
        <v>272</v>
      </c>
      <c r="B82" s="3" t="s">
        <v>252</v>
      </c>
      <c r="C82" s="3" t="s">
        <v>213</v>
      </c>
      <c r="D82" s="3" t="s">
        <v>27</v>
      </c>
      <c r="E82" s="3" t="s">
        <v>28</v>
      </c>
      <c r="F82" s="3">
        <v>33</v>
      </c>
      <c r="G82" s="3" t="s">
        <v>23</v>
      </c>
      <c r="H82" s="3" t="s">
        <v>273</v>
      </c>
      <c r="I82" s="3"/>
      <c r="J82" s="3" t="s">
        <v>17</v>
      </c>
      <c r="K82" s="3">
        <v>87161</v>
      </c>
    </row>
    <row r="83" spans="1:11">
      <c r="A83" s="3" t="s">
        <v>274</v>
      </c>
      <c r="B83" s="3" t="s">
        <v>134</v>
      </c>
      <c r="C83" s="3" t="s">
        <v>164</v>
      </c>
      <c r="D83" s="3" t="s">
        <v>14</v>
      </c>
      <c r="E83" s="3" t="s">
        <v>15</v>
      </c>
      <c r="F83" s="3">
        <v>33</v>
      </c>
      <c r="G83" s="3" t="s">
        <v>16</v>
      </c>
      <c r="H83" s="3" t="s">
        <v>275</v>
      </c>
      <c r="I83" s="3"/>
      <c r="J83" s="3" t="s">
        <v>17</v>
      </c>
      <c r="K83" s="3">
        <v>59824</v>
      </c>
    </row>
    <row r="84" spans="1:11">
      <c r="A84" s="3" t="s">
        <v>276</v>
      </c>
      <c r="B84" s="3" t="s">
        <v>160</v>
      </c>
      <c r="C84" s="3" t="s">
        <v>69</v>
      </c>
      <c r="D84" s="3" t="s">
        <v>21</v>
      </c>
      <c r="E84" s="3" t="s">
        <v>155</v>
      </c>
      <c r="F84" s="3">
        <v>34</v>
      </c>
      <c r="G84" s="3" t="s">
        <v>23</v>
      </c>
      <c r="H84" s="3" t="s">
        <v>277</v>
      </c>
      <c r="I84" s="3"/>
      <c r="J84" s="3" t="s">
        <v>17</v>
      </c>
      <c r="K84" s="3">
        <v>41396</v>
      </c>
    </row>
    <row r="85" spans="1:11">
      <c r="A85" s="3" t="s">
        <v>278</v>
      </c>
      <c r="B85" s="3" t="s">
        <v>216</v>
      </c>
      <c r="C85" s="3" t="s">
        <v>20</v>
      </c>
      <c r="D85" s="3" t="s">
        <v>21</v>
      </c>
      <c r="E85" s="3" t="s">
        <v>95</v>
      </c>
      <c r="F85" s="3">
        <v>27</v>
      </c>
      <c r="G85" s="3" t="s">
        <v>16</v>
      </c>
      <c r="H85" s="3" t="s">
        <v>279</v>
      </c>
      <c r="I85" s="3" t="s">
        <v>280</v>
      </c>
      <c r="J85" s="3" t="s">
        <v>51</v>
      </c>
      <c r="K85" s="3">
        <v>18000</v>
      </c>
    </row>
    <row r="86" spans="1:11">
      <c r="A86" s="3" t="s">
        <v>281</v>
      </c>
      <c r="B86" s="3" t="s">
        <v>238</v>
      </c>
      <c r="C86" s="3" t="s">
        <v>249</v>
      </c>
      <c r="D86" s="3" t="s">
        <v>21</v>
      </c>
      <c r="E86" s="3" t="s">
        <v>95</v>
      </c>
      <c r="F86" s="3">
        <v>40</v>
      </c>
      <c r="G86" s="3" t="s">
        <v>16</v>
      </c>
      <c r="H86" s="3" t="s">
        <v>282</v>
      </c>
      <c r="I86" s="3" t="s">
        <v>283</v>
      </c>
      <c r="J86" s="3" t="s">
        <v>51</v>
      </c>
      <c r="K86" s="3">
        <v>43343</v>
      </c>
    </row>
    <row r="87" spans="1:11">
      <c r="A87" s="3" t="s">
        <v>284</v>
      </c>
      <c r="B87" s="3" t="s">
        <v>12</v>
      </c>
      <c r="C87" s="3" t="s">
        <v>135</v>
      </c>
      <c r="D87" s="3" t="s">
        <v>27</v>
      </c>
      <c r="E87" s="3" t="s">
        <v>122</v>
      </c>
      <c r="F87">
        <v>32</v>
      </c>
      <c r="G87" s="3" t="s">
        <v>16</v>
      </c>
      <c r="H87" s="3" t="s">
        <v>285</v>
      </c>
      <c r="I87" s="3"/>
      <c r="J87" s="3" t="s">
        <v>17</v>
      </c>
      <c r="K87" s="3">
        <v>47308</v>
      </c>
    </row>
    <row r="88" spans="1:11">
      <c r="A88" s="3" t="s">
        <v>286</v>
      </c>
      <c r="B88" s="3" t="s">
        <v>73</v>
      </c>
      <c r="C88" s="3" t="s">
        <v>42</v>
      </c>
      <c r="D88" s="3" t="s">
        <v>27</v>
      </c>
      <c r="E88" s="3" t="s">
        <v>54</v>
      </c>
      <c r="F88" s="3">
        <v>38</v>
      </c>
      <c r="G88" s="3" t="s">
        <v>23</v>
      </c>
      <c r="H88" s="3" t="s">
        <v>56</v>
      </c>
      <c r="I88" s="3"/>
      <c r="J88" s="3" t="s">
        <v>17</v>
      </c>
      <c r="K88" s="3">
        <v>69023</v>
      </c>
    </row>
    <row r="89" spans="1:11">
      <c r="A89" s="3" t="s">
        <v>287</v>
      </c>
      <c r="B89" s="3" t="s">
        <v>288</v>
      </c>
      <c r="C89" s="3" t="s">
        <v>177</v>
      </c>
      <c r="D89" s="3" t="s">
        <v>27</v>
      </c>
      <c r="E89" s="3" t="s">
        <v>54</v>
      </c>
      <c r="F89" s="3">
        <v>21</v>
      </c>
      <c r="G89" s="3" t="s">
        <v>16</v>
      </c>
      <c r="H89" s="3" t="s">
        <v>289</v>
      </c>
      <c r="I89" s="3"/>
      <c r="J89" s="3" t="s">
        <v>17</v>
      </c>
      <c r="K89" s="3">
        <v>84336</v>
      </c>
    </row>
    <row r="90" spans="1:11">
      <c r="A90" s="3" t="s">
        <v>290</v>
      </c>
      <c r="B90" s="3" t="s">
        <v>238</v>
      </c>
      <c r="C90" s="3" t="s">
        <v>38</v>
      </c>
      <c r="D90" s="3" t="s">
        <v>33</v>
      </c>
      <c r="E90" s="3" t="s">
        <v>34</v>
      </c>
      <c r="F90" s="3"/>
      <c r="G90" s="3" t="s">
        <v>23</v>
      </c>
      <c r="H90" s="3" t="s">
        <v>291</v>
      </c>
      <c r="I90" s="3"/>
      <c r="J90" s="3" t="s">
        <v>17</v>
      </c>
      <c r="K90" s="3">
        <v>84132</v>
      </c>
    </row>
    <row r="91" spans="1:11">
      <c r="A91" s="3" t="s">
        <v>292</v>
      </c>
      <c r="B91" s="3" t="s">
        <v>134</v>
      </c>
      <c r="C91" s="3" t="s">
        <v>213</v>
      </c>
      <c r="D91" s="3" t="s">
        <v>21</v>
      </c>
      <c r="E91" s="3" t="s">
        <v>87</v>
      </c>
      <c r="F91" s="3"/>
      <c r="G91" s="3" t="s">
        <v>16</v>
      </c>
      <c r="H91" s="3" t="s">
        <v>293</v>
      </c>
      <c r="I91" s="3" t="s">
        <v>294</v>
      </c>
      <c r="J91" s="3" t="s">
        <v>51</v>
      </c>
      <c r="K91" s="3">
        <v>60132</v>
      </c>
    </row>
    <row r="92" spans="1:11">
      <c r="A92" s="3" t="s">
        <v>295</v>
      </c>
      <c r="B92" s="3" t="s">
        <v>98</v>
      </c>
      <c r="C92" s="3" t="s">
        <v>13</v>
      </c>
      <c r="D92" s="3" t="s">
        <v>27</v>
      </c>
      <c r="E92" s="3" t="s">
        <v>54</v>
      </c>
      <c r="F92" s="3">
        <v>23</v>
      </c>
      <c r="G92" s="3" t="s">
        <v>16</v>
      </c>
      <c r="H92" s="3" t="s">
        <v>296</v>
      </c>
      <c r="I92" s="3"/>
      <c r="J92" s="3" t="s">
        <v>17</v>
      </c>
      <c r="K92" s="3">
        <v>47678</v>
      </c>
    </row>
    <row r="93" spans="1:11">
      <c r="A93" s="3" t="s">
        <v>297</v>
      </c>
      <c r="B93" s="3" t="s">
        <v>298</v>
      </c>
      <c r="C93" s="3" t="s">
        <v>113</v>
      </c>
      <c r="D93" s="3" t="s">
        <v>64</v>
      </c>
      <c r="E93" s="3" t="s">
        <v>65</v>
      </c>
      <c r="F93" s="3">
        <v>38</v>
      </c>
      <c r="G93" s="3" t="s">
        <v>23</v>
      </c>
      <c r="H93" s="3" t="s">
        <v>299</v>
      </c>
      <c r="I93" s="3"/>
      <c r="J93" s="3" t="s">
        <v>17</v>
      </c>
      <c r="K93" s="3">
        <v>54993</v>
      </c>
    </row>
    <row r="94" spans="1:11">
      <c r="A94" s="3" t="s">
        <v>300</v>
      </c>
      <c r="B94" s="3" t="s">
        <v>121</v>
      </c>
      <c r="C94" s="3" t="s">
        <v>74</v>
      </c>
      <c r="D94" s="3" t="s">
        <v>21</v>
      </c>
      <c r="E94" s="3" t="s">
        <v>95</v>
      </c>
      <c r="F94" s="3">
        <v>34</v>
      </c>
      <c r="G94" s="3" t="s">
        <v>16</v>
      </c>
      <c r="H94" s="3" t="s">
        <v>301</v>
      </c>
      <c r="I94" s="3"/>
      <c r="J94" s="3" t="s">
        <v>17</v>
      </c>
      <c r="K94" s="3">
        <v>20475</v>
      </c>
    </row>
    <row r="95" spans="1:11">
      <c r="A95" s="3" t="s">
        <v>302</v>
      </c>
      <c r="B95" s="3" t="s">
        <v>125</v>
      </c>
      <c r="C95" s="3" t="s">
        <v>32</v>
      </c>
      <c r="D95" s="3" t="s">
        <v>64</v>
      </c>
      <c r="E95" s="3" t="s">
        <v>266</v>
      </c>
      <c r="F95" s="3">
        <v>21</v>
      </c>
      <c r="G95" s="3" t="s">
        <v>23</v>
      </c>
      <c r="H95" s="3" t="s">
        <v>303</v>
      </c>
      <c r="I95" s="3" t="s">
        <v>304</v>
      </c>
      <c r="J95" s="3" t="s">
        <v>51</v>
      </c>
      <c r="K95" s="3">
        <v>20501</v>
      </c>
    </row>
    <row r="96" spans="1:11">
      <c r="A96" s="3" t="s">
        <v>305</v>
      </c>
      <c r="B96" s="3" t="s">
        <v>106</v>
      </c>
      <c r="C96" s="3" t="s">
        <v>103</v>
      </c>
      <c r="D96" s="3" t="s">
        <v>64</v>
      </c>
      <c r="E96" s="3" t="s">
        <v>266</v>
      </c>
      <c r="F96" s="3">
        <v>49</v>
      </c>
      <c r="G96" s="3" t="s">
        <v>23</v>
      </c>
      <c r="H96" s="3" t="s">
        <v>306</v>
      </c>
      <c r="I96" s="3" t="s">
        <v>307</v>
      </c>
      <c r="J96" s="3" t="s">
        <v>51</v>
      </c>
      <c r="K96" s="3">
        <v>30519</v>
      </c>
    </row>
    <row r="97" spans="1:11">
      <c r="A97" s="3" t="s">
        <v>308</v>
      </c>
      <c r="B97" s="3" t="s">
        <v>19</v>
      </c>
      <c r="C97" s="3" t="s">
        <v>20</v>
      </c>
      <c r="D97" s="3" t="s">
        <v>21</v>
      </c>
      <c r="E97" s="3" t="s">
        <v>95</v>
      </c>
      <c r="F97" s="3">
        <v>46</v>
      </c>
      <c r="G97" s="3" t="s">
        <v>23</v>
      </c>
      <c r="H97" s="3" t="s">
        <v>309</v>
      </c>
      <c r="I97" s="3"/>
      <c r="J97" s="3" t="s">
        <v>17</v>
      </c>
      <c r="K97" s="3">
        <v>44787</v>
      </c>
    </row>
    <row r="98" spans="1:11">
      <c r="A98" s="3" t="s">
        <v>310</v>
      </c>
      <c r="B98" s="3" t="s">
        <v>121</v>
      </c>
      <c r="C98" s="3" t="s">
        <v>177</v>
      </c>
      <c r="D98" s="3" t="s">
        <v>27</v>
      </c>
      <c r="E98" s="3" t="s">
        <v>122</v>
      </c>
      <c r="F98" s="3">
        <v>34</v>
      </c>
      <c r="G98" s="3" t="s">
        <v>16</v>
      </c>
      <c r="H98" s="3" t="s">
        <v>229</v>
      </c>
      <c r="I98" s="3"/>
      <c r="J98" s="3" t="s">
        <v>17</v>
      </c>
      <c r="K98" s="3">
        <v>45153</v>
      </c>
    </row>
    <row r="99" spans="1:11">
      <c r="A99" s="3" t="s">
        <v>311</v>
      </c>
      <c r="B99" s="3" t="s">
        <v>73</v>
      </c>
      <c r="C99" s="3" t="s">
        <v>94</v>
      </c>
      <c r="D99" s="3" t="s">
        <v>43</v>
      </c>
      <c r="E99" s="3" t="s">
        <v>44</v>
      </c>
      <c r="F99" s="3">
        <v>22</v>
      </c>
      <c r="G99" s="3" t="s">
        <v>23</v>
      </c>
      <c r="H99" s="3" t="s">
        <v>312</v>
      </c>
      <c r="I99" s="3"/>
      <c r="J99" s="3" t="s">
        <v>17</v>
      </c>
      <c r="K99" s="3">
        <v>61986</v>
      </c>
    </row>
    <row r="100" spans="1:11">
      <c r="A100" s="3" t="s">
        <v>313</v>
      </c>
      <c r="B100" s="3" t="s">
        <v>263</v>
      </c>
      <c r="C100" s="3" t="s">
        <v>174</v>
      </c>
      <c r="D100" s="3" t="s">
        <v>21</v>
      </c>
      <c r="E100" s="3" t="s">
        <v>155</v>
      </c>
      <c r="F100" s="3">
        <v>39</v>
      </c>
      <c r="G100" s="3" t="s">
        <v>16</v>
      </c>
      <c r="H100" s="3" t="s">
        <v>314</v>
      </c>
      <c r="I100" s="3" t="s">
        <v>315</v>
      </c>
      <c r="J100" s="3" t="s">
        <v>51</v>
      </c>
      <c r="K100" s="3">
        <v>64785</v>
      </c>
    </row>
    <row r="101" spans="1:11">
      <c r="A101" s="3" t="s">
        <v>316</v>
      </c>
      <c r="B101" s="3" t="s">
        <v>37</v>
      </c>
      <c r="C101" s="3" t="s">
        <v>20</v>
      </c>
      <c r="D101" s="3" t="s">
        <v>21</v>
      </c>
      <c r="E101" s="3" t="s">
        <v>87</v>
      </c>
      <c r="F101" s="3">
        <v>26</v>
      </c>
      <c r="G101" s="3" t="s">
        <v>16</v>
      </c>
      <c r="H101" s="3" t="s">
        <v>317</v>
      </c>
      <c r="I101" s="3"/>
      <c r="J101" s="3" t="s">
        <v>17</v>
      </c>
      <c r="K101" s="3">
        <v>86972</v>
      </c>
    </row>
    <row r="102" spans="1:11">
      <c r="A102" s="3" t="s">
        <v>318</v>
      </c>
      <c r="B102" s="3" t="s">
        <v>62</v>
      </c>
      <c r="C102" s="3" t="s">
        <v>13</v>
      </c>
      <c r="D102" s="3" t="s">
        <v>27</v>
      </c>
      <c r="E102" s="3" t="s">
        <v>122</v>
      </c>
      <c r="F102" s="3">
        <v>32</v>
      </c>
      <c r="G102" s="3" t="s">
        <v>16</v>
      </c>
      <c r="H102" s="3" t="s">
        <v>319</v>
      </c>
      <c r="I102" s="3"/>
      <c r="J102" s="3" t="s">
        <v>17</v>
      </c>
      <c r="K102" s="3">
        <v>58430</v>
      </c>
    </row>
    <row r="103" spans="1:11">
      <c r="A103" s="3" t="s">
        <v>320</v>
      </c>
      <c r="B103" s="3" t="s">
        <v>93</v>
      </c>
      <c r="C103" s="3" t="s">
        <v>135</v>
      </c>
      <c r="D103" s="3" t="s">
        <v>321</v>
      </c>
      <c r="E103" s="3" t="s">
        <v>22</v>
      </c>
      <c r="F103" s="3">
        <v>30</v>
      </c>
      <c r="G103" s="3" t="s">
        <v>16</v>
      </c>
      <c r="H103" s="3" t="s">
        <v>322</v>
      </c>
      <c r="I103" s="3"/>
      <c r="J103" s="3" t="s">
        <v>17</v>
      </c>
      <c r="K103" s="3">
        <v>38314</v>
      </c>
    </row>
    <row r="104" spans="1:11">
      <c r="A104" s="3" t="s">
        <v>323</v>
      </c>
      <c r="B104" s="3" t="s">
        <v>106</v>
      </c>
      <c r="C104" s="3" t="s">
        <v>94</v>
      </c>
      <c r="D104" s="3" t="s">
        <v>43</v>
      </c>
      <c r="E104" s="3" t="s">
        <v>44</v>
      </c>
      <c r="F104" s="3">
        <v>46</v>
      </c>
      <c r="G104" s="3" t="s">
        <v>16</v>
      </c>
      <c r="H104" s="3" t="s">
        <v>324</v>
      </c>
      <c r="I104" s="3"/>
      <c r="J104" s="3" t="s">
        <v>17</v>
      </c>
      <c r="K104" s="3">
        <v>29694</v>
      </c>
    </row>
    <row r="105" spans="1:11">
      <c r="A105" s="3" t="s">
        <v>325</v>
      </c>
      <c r="B105" s="3" t="s">
        <v>78</v>
      </c>
      <c r="C105" s="3" t="s">
        <v>213</v>
      </c>
      <c r="D105" s="3" t="s">
        <v>64</v>
      </c>
      <c r="E105" s="3" t="s">
        <v>65</v>
      </c>
      <c r="F105" s="3">
        <v>29</v>
      </c>
      <c r="G105" s="3" t="s">
        <v>23</v>
      </c>
      <c r="H105" s="3" t="s">
        <v>326</v>
      </c>
      <c r="I105" s="3"/>
      <c r="J105" s="3" t="s">
        <v>17</v>
      </c>
      <c r="K105" s="3">
        <v>38909</v>
      </c>
    </row>
    <row r="106" spans="1:11">
      <c r="A106" s="3" t="s">
        <v>327</v>
      </c>
      <c r="B106" s="3" t="s">
        <v>58</v>
      </c>
      <c r="C106" s="3" t="s">
        <v>63</v>
      </c>
      <c r="D106" s="3" t="s">
        <v>21</v>
      </c>
      <c r="E106" s="3" t="s">
        <v>87</v>
      </c>
      <c r="F106" s="3">
        <v>41</v>
      </c>
      <c r="G106" s="3" t="s">
        <v>16</v>
      </c>
      <c r="H106" s="3" t="s">
        <v>328</v>
      </c>
      <c r="I106" s="3"/>
      <c r="J106" s="3" t="s">
        <v>17</v>
      </c>
      <c r="K106" s="3">
        <v>33560</v>
      </c>
    </row>
    <row r="107" spans="1:11">
      <c r="A107" s="3" t="s">
        <v>329</v>
      </c>
      <c r="B107" s="3" t="s">
        <v>226</v>
      </c>
      <c r="C107" s="3" t="s">
        <v>249</v>
      </c>
      <c r="D107" s="3" t="s">
        <v>43</v>
      </c>
      <c r="E107" s="3" t="s">
        <v>48</v>
      </c>
      <c r="F107" s="3">
        <v>36</v>
      </c>
      <c r="G107" s="3" t="s">
        <v>16</v>
      </c>
      <c r="H107" s="3" t="s">
        <v>330</v>
      </c>
      <c r="I107" s="3"/>
      <c r="J107" s="3" t="s">
        <v>17</v>
      </c>
      <c r="K107" s="3">
        <v>43540</v>
      </c>
    </row>
    <row r="108" spans="1:11">
      <c r="A108" s="3" t="s">
        <v>331</v>
      </c>
      <c r="B108" s="3" t="s">
        <v>112</v>
      </c>
      <c r="C108" s="3" t="s">
        <v>26</v>
      </c>
      <c r="D108" s="3" t="s">
        <v>21</v>
      </c>
      <c r="E108" s="3" t="s">
        <v>87</v>
      </c>
      <c r="F108" s="3">
        <v>40</v>
      </c>
      <c r="G108" s="3" t="s">
        <v>16</v>
      </c>
      <c r="H108" s="3" t="s">
        <v>332</v>
      </c>
      <c r="I108" s="3"/>
      <c r="J108" s="3" t="s">
        <v>17</v>
      </c>
      <c r="K108" s="3">
        <v>56461</v>
      </c>
    </row>
    <row r="109" spans="1:11">
      <c r="A109" s="3" t="s">
        <v>333</v>
      </c>
      <c r="B109" s="3" t="s">
        <v>223</v>
      </c>
      <c r="C109" s="3" t="s">
        <v>135</v>
      </c>
      <c r="D109" s="3" t="s">
        <v>43</v>
      </c>
      <c r="E109" s="3" t="s">
        <v>44</v>
      </c>
      <c r="F109" s="3">
        <v>28</v>
      </c>
      <c r="G109" s="3" t="s">
        <v>16</v>
      </c>
      <c r="H109" s="3" t="s">
        <v>334</v>
      </c>
      <c r="I109" s="3"/>
      <c r="J109" s="3" t="s">
        <v>17</v>
      </c>
      <c r="K109" s="3">
        <v>79754</v>
      </c>
    </row>
    <row r="110" spans="1:11">
      <c r="A110" s="3" t="s">
        <v>335</v>
      </c>
      <c r="B110" s="3" t="s">
        <v>58</v>
      </c>
      <c r="C110" s="3" t="s">
        <v>129</v>
      </c>
      <c r="D110" s="3" t="s">
        <v>21</v>
      </c>
      <c r="E110" s="3" t="s">
        <v>87</v>
      </c>
      <c r="F110" s="3">
        <v>33</v>
      </c>
      <c r="G110" s="3" t="s">
        <v>16</v>
      </c>
      <c r="H110" s="3" t="s">
        <v>336</v>
      </c>
      <c r="I110" s="3"/>
      <c r="J110" s="3" t="s">
        <v>17</v>
      </c>
      <c r="K110" s="3">
        <v>64863</v>
      </c>
    </row>
    <row r="111" spans="1:11">
      <c r="A111" s="3" t="s">
        <v>337</v>
      </c>
      <c r="B111" s="3" t="s">
        <v>252</v>
      </c>
      <c r="C111" s="3" t="s">
        <v>38</v>
      </c>
      <c r="D111" s="3" t="s">
        <v>64</v>
      </c>
      <c r="E111" s="3" t="s">
        <v>161</v>
      </c>
      <c r="F111" s="3">
        <v>41</v>
      </c>
      <c r="G111" s="3" t="s">
        <v>23</v>
      </c>
      <c r="H111" s="3" t="s">
        <v>338</v>
      </c>
      <c r="I111" s="3"/>
      <c r="J111" s="3" t="s">
        <v>17</v>
      </c>
      <c r="K111" s="3">
        <v>86614</v>
      </c>
    </row>
    <row r="112" spans="1:11">
      <c r="A112" s="3" t="s">
        <v>339</v>
      </c>
      <c r="B112" s="3" t="s">
        <v>102</v>
      </c>
      <c r="C112" s="3" t="s">
        <v>26</v>
      </c>
      <c r="D112" s="3" t="s">
        <v>33</v>
      </c>
      <c r="E112" s="3" t="s">
        <v>79</v>
      </c>
      <c r="F112" s="3">
        <v>37</v>
      </c>
      <c r="G112" s="3" t="s">
        <v>16</v>
      </c>
      <c r="H112" s="3" t="s">
        <v>340</v>
      </c>
      <c r="I112" s="3"/>
      <c r="J112" s="3" t="s">
        <v>17</v>
      </c>
      <c r="K112" s="3">
        <v>72898</v>
      </c>
    </row>
    <row r="113" spans="1:11">
      <c r="A113" s="3" t="s">
        <v>341</v>
      </c>
      <c r="B113" s="3" t="s">
        <v>12</v>
      </c>
      <c r="C113" s="3" t="s">
        <v>164</v>
      </c>
      <c r="D113" s="3" t="s">
        <v>27</v>
      </c>
      <c r="E113" s="3" t="s">
        <v>122</v>
      </c>
      <c r="F113" s="3">
        <v>37</v>
      </c>
      <c r="G113" s="3" t="s">
        <v>16</v>
      </c>
      <c r="H113" s="3" t="s">
        <v>342</v>
      </c>
      <c r="I113" s="3"/>
      <c r="J113" s="3" t="s">
        <v>17</v>
      </c>
      <c r="K113" s="3">
        <v>26147</v>
      </c>
    </row>
    <row r="114" spans="1:11">
      <c r="A114" s="3" t="s">
        <v>343</v>
      </c>
      <c r="B114" s="3" t="s">
        <v>41</v>
      </c>
      <c r="C114" s="3" t="s">
        <v>113</v>
      </c>
      <c r="D114" s="3" t="s">
        <v>43</v>
      </c>
      <c r="E114" s="3" t="s">
        <v>48</v>
      </c>
      <c r="F114" s="3">
        <v>41</v>
      </c>
      <c r="G114" s="3" t="s">
        <v>16</v>
      </c>
      <c r="H114" s="3" t="s">
        <v>344</v>
      </c>
      <c r="I114" s="3"/>
      <c r="J114" s="3" t="s">
        <v>17</v>
      </c>
      <c r="K114" s="3">
        <v>74075</v>
      </c>
    </row>
    <row r="115" spans="1:11">
      <c r="A115" s="3" t="s">
        <v>345</v>
      </c>
      <c r="B115" s="3" t="s">
        <v>263</v>
      </c>
      <c r="C115" s="3" t="s">
        <v>38</v>
      </c>
      <c r="D115" s="3" t="s">
        <v>21</v>
      </c>
      <c r="E115" s="3" t="s">
        <v>22</v>
      </c>
      <c r="F115" s="3">
        <v>32</v>
      </c>
      <c r="G115" s="3" t="s">
        <v>16</v>
      </c>
      <c r="H115" s="3" t="s">
        <v>346</v>
      </c>
      <c r="I115" s="3"/>
      <c r="J115" s="3" t="s">
        <v>17</v>
      </c>
      <c r="K115" s="3">
        <v>21871</v>
      </c>
    </row>
    <row r="116" spans="1:11">
      <c r="A116" s="3" t="s">
        <v>347</v>
      </c>
      <c r="B116" s="3" t="s">
        <v>128</v>
      </c>
      <c r="C116" s="3" t="s">
        <v>146</v>
      </c>
      <c r="D116" s="3" t="s">
        <v>21</v>
      </c>
      <c r="E116" s="3" t="s">
        <v>155</v>
      </c>
      <c r="F116" s="3">
        <v>33</v>
      </c>
      <c r="G116" s="3" t="s">
        <v>16</v>
      </c>
      <c r="H116" s="3" t="s">
        <v>348</v>
      </c>
      <c r="I116" s="3"/>
      <c r="J116" s="3" t="s">
        <v>17</v>
      </c>
      <c r="K116" s="3">
        <v>91623</v>
      </c>
    </row>
    <row r="117" spans="1:11">
      <c r="A117" s="3" t="s">
        <v>349</v>
      </c>
      <c r="B117" s="3" t="s">
        <v>226</v>
      </c>
      <c r="C117" s="3" t="s">
        <v>249</v>
      </c>
      <c r="D117" s="3" t="s">
        <v>43</v>
      </c>
      <c r="E117" s="3" t="s">
        <v>70</v>
      </c>
      <c r="F117" s="3">
        <v>42</v>
      </c>
      <c r="G117" s="3" t="s">
        <v>23</v>
      </c>
      <c r="H117" s="3" t="s">
        <v>350</v>
      </c>
      <c r="I117" s="3" t="s">
        <v>351</v>
      </c>
      <c r="J117" s="3" t="s">
        <v>51</v>
      </c>
      <c r="K117" s="3">
        <v>67098</v>
      </c>
    </row>
    <row r="118" spans="1:11">
      <c r="A118" s="3" t="s">
        <v>352</v>
      </c>
      <c r="B118" s="3" t="s">
        <v>109</v>
      </c>
      <c r="C118" s="3" t="s">
        <v>13</v>
      </c>
      <c r="D118" s="3" t="s">
        <v>43</v>
      </c>
      <c r="E118" s="3" t="s">
        <v>70</v>
      </c>
      <c r="F118" s="3">
        <v>39</v>
      </c>
      <c r="G118" s="3" t="s">
        <v>16</v>
      </c>
      <c r="H118" s="3" t="s">
        <v>353</v>
      </c>
      <c r="I118" s="3"/>
      <c r="J118" s="3" t="s">
        <v>17</v>
      </c>
      <c r="K118" s="3">
        <v>91028</v>
      </c>
    </row>
    <row r="119" spans="1:11">
      <c r="A119" s="3" t="s">
        <v>354</v>
      </c>
      <c r="B119" s="3" t="s">
        <v>121</v>
      </c>
      <c r="C119" s="3" t="s">
        <v>63</v>
      </c>
      <c r="D119" s="3" t="s">
        <v>118</v>
      </c>
      <c r="E119" s="3" t="s">
        <v>48</v>
      </c>
      <c r="F119" s="3">
        <v>52</v>
      </c>
      <c r="G119" s="3" t="s">
        <v>16</v>
      </c>
      <c r="H119" s="3" t="s">
        <v>355</v>
      </c>
      <c r="I119" s="3"/>
      <c r="J119" s="3" t="s">
        <v>17</v>
      </c>
      <c r="K119" s="3">
        <v>62075</v>
      </c>
    </row>
    <row r="120" spans="1:11">
      <c r="A120" s="3" t="s">
        <v>356</v>
      </c>
      <c r="B120" s="3" t="s">
        <v>160</v>
      </c>
      <c r="C120" s="3" t="s">
        <v>205</v>
      </c>
      <c r="D120" s="3" t="s">
        <v>43</v>
      </c>
      <c r="E120" s="3" t="s">
        <v>70</v>
      </c>
      <c r="F120" s="3">
        <v>48</v>
      </c>
      <c r="G120" s="3" t="s">
        <v>16</v>
      </c>
      <c r="H120" s="3" t="s">
        <v>357</v>
      </c>
      <c r="I120" s="3"/>
      <c r="J120" s="3" t="s">
        <v>17</v>
      </c>
      <c r="K120" s="3">
        <v>48565</v>
      </c>
    </row>
    <row r="121" spans="1:11">
      <c r="A121" s="3" t="s">
        <v>358</v>
      </c>
      <c r="B121" s="3" t="s">
        <v>226</v>
      </c>
      <c r="C121" s="3" t="s">
        <v>32</v>
      </c>
      <c r="D121" s="3" t="s">
        <v>64</v>
      </c>
      <c r="E121" s="3" t="s">
        <v>65</v>
      </c>
      <c r="F121" s="3">
        <v>43</v>
      </c>
      <c r="G121" s="3" t="s">
        <v>23</v>
      </c>
      <c r="H121" s="3" t="s">
        <v>359</v>
      </c>
      <c r="I121" s="3"/>
      <c r="J121" s="3" t="s">
        <v>17</v>
      </c>
      <c r="K121" s="3">
        <v>98714</v>
      </c>
    </row>
    <row r="122" spans="1:11">
      <c r="A122" s="3" t="s">
        <v>360</v>
      </c>
      <c r="B122" s="3" t="s">
        <v>41</v>
      </c>
      <c r="C122" s="3" t="s">
        <v>63</v>
      </c>
      <c r="D122" s="3" t="s">
        <v>43</v>
      </c>
      <c r="E122" s="3" t="s">
        <v>48</v>
      </c>
      <c r="F122" s="3">
        <v>36</v>
      </c>
      <c r="G122" s="3" t="s">
        <v>16</v>
      </c>
      <c r="H122" s="3" t="s">
        <v>361</v>
      </c>
      <c r="I122" s="3"/>
      <c r="J122" s="3" t="s">
        <v>17</v>
      </c>
      <c r="K122" s="3">
        <v>62900</v>
      </c>
    </row>
    <row r="123" spans="1:11">
      <c r="A123" s="3" t="s">
        <v>362</v>
      </c>
      <c r="B123" s="3" t="s">
        <v>90</v>
      </c>
      <c r="C123" s="3" t="s">
        <v>213</v>
      </c>
      <c r="D123" s="3" t="s">
        <v>21</v>
      </c>
      <c r="E123" s="3" t="s">
        <v>22</v>
      </c>
      <c r="F123" s="3">
        <v>21</v>
      </c>
      <c r="G123" s="3" t="s">
        <v>16</v>
      </c>
      <c r="H123" s="3" t="s">
        <v>363</v>
      </c>
      <c r="I123" s="3" t="s">
        <v>364</v>
      </c>
      <c r="J123" s="3" t="s">
        <v>51</v>
      </c>
      <c r="K123" s="3">
        <v>55154</v>
      </c>
    </row>
    <row r="124" spans="1:11">
      <c r="A124" s="3" t="s">
        <v>365</v>
      </c>
      <c r="B124" s="3" t="s">
        <v>145</v>
      </c>
      <c r="C124" s="3" t="s">
        <v>38</v>
      </c>
      <c r="D124" s="3" t="s">
        <v>27</v>
      </c>
      <c r="E124" s="3" t="s">
        <v>54</v>
      </c>
      <c r="F124" s="3">
        <v>30</v>
      </c>
      <c r="G124" s="3" t="s">
        <v>23</v>
      </c>
      <c r="H124" s="3" t="s">
        <v>366</v>
      </c>
      <c r="I124" s="3" t="s">
        <v>367</v>
      </c>
      <c r="J124" s="3" t="s">
        <v>51</v>
      </c>
      <c r="K124" s="3">
        <v>45124</v>
      </c>
    </row>
    <row r="125" spans="1:11">
      <c r="A125" s="3" t="s">
        <v>368</v>
      </c>
      <c r="B125" s="3" t="s">
        <v>62</v>
      </c>
      <c r="C125" s="3" t="s">
        <v>103</v>
      </c>
      <c r="D125" s="3" t="s">
        <v>21</v>
      </c>
      <c r="E125" s="3" t="s">
        <v>22</v>
      </c>
      <c r="F125" s="3">
        <v>28</v>
      </c>
      <c r="G125" s="3" t="s">
        <v>16</v>
      </c>
      <c r="H125" s="3" t="s">
        <v>369</v>
      </c>
      <c r="I125" s="3"/>
      <c r="J125" s="3" t="s">
        <v>17</v>
      </c>
      <c r="K125" s="3">
        <v>38431</v>
      </c>
    </row>
    <row r="126" spans="1:11">
      <c r="A126" s="3" t="s">
        <v>370</v>
      </c>
      <c r="B126" s="3" t="s">
        <v>82</v>
      </c>
      <c r="C126" s="3" t="s">
        <v>113</v>
      </c>
      <c r="D126" s="3" t="s">
        <v>21</v>
      </c>
      <c r="E126" s="3" t="s">
        <v>22</v>
      </c>
      <c r="F126" s="3">
        <v>22</v>
      </c>
      <c r="G126" s="3" t="s">
        <v>16</v>
      </c>
      <c r="H126" s="3" t="s">
        <v>371</v>
      </c>
      <c r="I126" s="3"/>
      <c r="J126" s="3" t="s">
        <v>17</v>
      </c>
      <c r="K126" s="3">
        <v>80047</v>
      </c>
    </row>
    <row r="127" spans="1:11">
      <c r="A127" s="3" t="s">
        <v>372</v>
      </c>
      <c r="B127" s="3" t="s">
        <v>160</v>
      </c>
      <c r="C127" s="3" t="s">
        <v>53</v>
      </c>
      <c r="D127" s="3" t="s">
        <v>64</v>
      </c>
      <c r="E127" s="3" t="s">
        <v>65</v>
      </c>
      <c r="F127" s="3">
        <v>28</v>
      </c>
      <c r="G127" s="3" t="s">
        <v>23</v>
      </c>
      <c r="H127" s="3" t="s">
        <v>373</v>
      </c>
      <c r="I127" s="3"/>
      <c r="J127" s="3" t="s">
        <v>17</v>
      </c>
      <c r="K127" s="3">
        <v>30419</v>
      </c>
    </row>
    <row r="128" spans="1:11">
      <c r="A128" s="3" t="s">
        <v>374</v>
      </c>
      <c r="B128" s="3" t="s">
        <v>102</v>
      </c>
      <c r="C128" s="3" t="s">
        <v>69</v>
      </c>
      <c r="D128" s="3" t="s">
        <v>33</v>
      </c>
      <c r="E128" s="3" t="s">
        <v>79</v>
      </c>
      <c r="F128" s="3">
        <v>39</v>
      </c>
      <c r="G128" s="3" t="s">
        <v>16</v>
      </c>
      <c r="H128" s="3" t="s">
        <v>375</v>
      </c>
      <c r="I128" s="3"/>
      <c r="J128" s="3" t="s">
        <v>17</v>
      </c>
      <c r="K128" s="3">
        <v>77497</v>
      </c>
    </row>
    <row r="129" spans="1:11">
      <c r="A129" s="3" t="s">
        <v>376</v>
      </c>
      <c r="B129" s="3" t="s">
        <v>98</v>
      </c>
      <c r="C129" s="3" t="s">
        <v>113</v>
      </c>
      <c r="D129" s="3" t="s">
        <v>64</v>
      </c>
      <c r="E129" s="3" t="s">
        <v>65</v>
      </c>
      <c r="F129" s="3">
        <v>26</v>
      </c>
      <c r="G129" s="3" t="s">
        <v>16</v>
      </c>
      <c r="H129" s="3" t="s">
        <v>377</v>
      </c>
      <c r="I129" s="3"/>
      <c r="J129" s="3" t="s">
        <v>17</v>
      </c>
      <c r="K129" s="3">
        <v>36470</v>
      </c>
    </row>
    <row r="130" spans="1:11">
      <c r="A130" s="3" t="s">
        <v>378</v>
      </c>
      <c r="B130" s="3" t="s">
        <v>12</v>
      </c>
      <c r="C130" s="3" t="s">
        <v>205</v>
      </c>
      <c r="D130" s="3" t="s">
        <v>43</v>
      </c>
      <c r="E130" s="3" t="s">
        <v>48</v>
      </c>
      <c r="F130" s="3">
        <v>30</v>
      </c>
      <c r="G130" s="3" t="s">
        <v>16</v>
      </c>
      <c r="H130" s="3" t="s">
        <v>379</v>
      </c>
      <c r="I130" s="3"/>
      <c r="J130" s="3" t="s">
        <v>17</v>
      </c>
      <c r="K130" s="3">
        <v>56195</v>
      </c>
    </row>
    <row r="131" spans="1:11">
      <c r="A131" s="3" t="s">
        <v>380</v>
      </c>
      <c r="B131" s="3" t="s">
        <v>62</v>
      </c>
      <c r="C131" s="3" t="s">
        <v>94</v>
      </c>
      <c r="D131" s="3" t="s">
        <v>21</v>
      </c>
      <c r="E131" s="3" t="s">
        <v>87</v>
      </c>
      <c r="F131" s="3">
        <v>36</v>
      </c>
      <c r="G131" s="3" t="s">
        <v>16</v>
      </c>
      <c r="H131" s="3" t="s">
        <v>381</v>
      </c>
      <c r="I131" s="3"/>
      <c r="J131" s="3" t="s">
        <v>17</v>
      </c>
      <c r="K131" s="3">
        <v>74981</v>
      </c>
    </row>
    <row r="132" spans="1:11">
      <c r="A132" s="3" t="s">
        <v>382</v>
      </c>
      <c r="B132" s="3" t="s">
        <v>73</v>
      </c>
      <c r="C132" s="3" t="s">
        <v>26</v>
      </c>
      <c r="D132" s="3" t="s">
        <v>64</v>
      </c>
      <c r="E132" s="3" t="s">
        <v>266</v>
      </c>
      <c r="F132" s="3">
        <v>43</v>
      </c>
      <c r="G132" s="3" t="s">
        <v>16</v>
      </c>
      <c r="H132" s="3" t="s">
        <v>383</v>
      </c>
      <c r="I132" s="3"/>
      <c r="J132" s="3" t="s">
        <v>17</v>
      </c>
      <c r="K132" s="3">
        <v>57669</v>
      </c>
    </row>
    <row r="133" spans="1:11">
      <c r="A133" s="3" t="s">
        <v>384</v>
      </c>
      <c r="B133" s="3" t="s">
        <v>90</v>
      </c>
      <c r="C133" s="3" t="s">
        <v>177</v>
      </c>
      <c r="D133" s="3" t="s">
        <v>27</v>
      </c>
      <c r="E133" s="3" t="s">
        <v>28</v>
      </c>
      <c r="F133" s="3">
        <v>39</v>
      </c>
      <c r="G133" s="3" t="s">
        <v>16</v>
      </c>
      <c r="H133" s="3" t="s">
        <v>385</v>
      </c>
      <c r="I133" s="3"/>
      <c r="J133" s="3" t="s">
        <v>17</v>
      </c>
      <c r="K133" s="3">
        <v>70983</v>
      </c>
    </row>
    <row r="134" spans="1:11">
      <c r="A134" s="3" t="s">
        <v>386</v>
      </c>
      <c r="B134" s="3" t="s">
        <v>98</v>
      </c>
      <c r="C134" s="3" t="s">
        <v>135</v>
      </c>
      <c r="D134" s="3" t="s">
        <v>27</v>
      </c>
      <c r="E134" s="3" t="s">
        <v>28</v>
      </c>
      <c r="F134" s="3">
        <v>43</v>
      </c>
      <c r="G134" s="3" t="s">
        <v>16</v>
      </c>
      <c r="H134" s="3" t="s">
        <v>387</v>
      </c>
      <c r="I134" s="3"/>
      <c r="J134" s="3" t="s">
        <v>17</v>
      </c>
      <c r="K134" s="3">
        <v>61528</v>
      </c>
    </row>
    <row r="135" spans="1:11">
      <c r="A135" s="3" t="s">
        <v>388</v>
      </c>
      <c r="B135" s="3" t="s">
        <v>31</v>
      </c>
      <c r="C135" s="3" t="s">
        <v>164</v>
      </c>
      <c r="D135" s="3" t="s">
        <v>118</v>
      </c>
      <c r="E135" s="3" t="s">
        <v>44</v>
      </c>
      <c r="F135" s="3">
        <v>29</v>
      </c>
      <c r="G135" s="3" t="s">
        <v>23</v>
      </c>
      <c r="H135" s="4">
        <v>43872</v>
      </c>
      <c r="I135" s="3"/>
      <c r="J135" s="3" t="s">
        <v>17</v>
      </c>
      <c r="K135" s="3">
        <v>42075</v>
      </c>
    </row>
    <row r="136" spans="1:11">
      <c r="A136" s="3" t="s">
        <v>389</v>
      </c>
      <c r="B136" s="3" t="s">
        <v>47</v>
      </c>
      <c r="C136" s="3" t="s">
        <v>53</v>
      </c>
      <c r="D136" s="3" t="s">
        <v>64</v>
      </c>
      <c r="E136" s="3" t="s">
        <v>266</v>
      </c>
      <c r="F136" s="3">
        <v>28</v>
      </c>
      <c r="G136" s="3" t="s">
        <v>23</v>
      </c>
      <c r="H136" s="3" t="s">
        <v>390</v>
      </c>
      <c r="I136" s="3" t="s">
        <v>391</v>
      </c>
      <c r="J136" s="3" t="s">
        <v>51</v>
      </c>
      <c r="K136" s="3">
        <v>71283</v>
      </c>
    </row>
    <row r="137" spans="1:11">
      <c r="A137" s="3" t="s">
        <v>392</v>
      </c>
      <c r="B137" s="3" t="s">
        <v>145</v>
      </c>
      <c r="C137" s="3" t="s">
        <v>63</v>
      </c>
      <c r="D137" s="3" t="s">
        <v>21</v>
      </c>
      <c r="E137" s="3" t="s">
        <v>87</v>
      </c>
      <c r="F137" s="3">
        <v>34</v>
      </c>
      <c r="G137" s="3" t="s">
        <v>16</v>
      </c>
      <c r="H137" s="3" t="s">
        <v>393</v>
      </c>
      <c r="I137" s="3"/>
      <c r="J137" s="3" t="s">
        <v>17</v>
      </c>
      <c r="K137" s="3">
        <v>42583</v>
      </c>
    </row>
    <row r="138" spans="1:11">
      <c r="A138" s="3" t="s">
        <v>394</v>
      </c>
      <c r="B138" s="3" t="s">
        <v>58</v>
      </c>
      <c r="C138" s="3" t="s">
        <v>103</v>
      </c>
      <c r="D138" s="3" t="s">
        <v>64</v>
      </c>
      <c r="E138" s="3" t="s">
        <v>161</v>
      </c>
      <c r="F138" s="3">
        <v>31</v>
      </c>
      <c r="G138" s="3" t="s">
        <v>16</v>
      </c>
      <c r="H138" s="3" t="s">
        <v>395</v>
      </c>
      <c r="I138" s="3"/>
      <c r="J138" s="3" t="s">
        <v>17</v>
      </c>
      <c r="K138" s="3">
        <v>99228</v>
      </c>
    </row>
    <row r="139" spans="1:11">
      <c r="A139" s="3" t="s">
        <v>396</v>
      </c>
      <c r="B139" s="3" t="s">
        <v>263</v>
      </c>
      <c r="C139" s="3" t="s">
        <v>135</v>
      </c>
      <c r="D139" s="3" t="s">
        <v>27</v>
      </c>
      <c r="E139" s="3" t="s">
        <v>122</v>
      </c>
      <c r="F139" s="3">
        <v>45</v>
      </c>
      <c r="G139" s="3" t="s">
        <v>23</v>
      </c>
      <c r="H139" s="3" t="s">
        <v>397</v>
      </c>
      <c r="I139" s="3"/>
      <c r="J139" s="3" t="s">
        <v>17</v>
      </c>
      <c r="K139" s="3">
        <v>68608</v>
      </c>
    </row>
    <row r="140" spans="1:11">
      <c r="A140" s="3" t="s">
        <v>398</v>
      </c>
      <c r="B140" s="3" t="s">
        <v>134</v>
      </c>
      <c r="C140" s="3" t="s">
        <v>146</v>
      </c>
      <c r="D140" s="3" t="s">
        <v>21</v>
      </c>
      <c r="E140" s="3" t="s">
        <v>95</v>
      </c>
      <c r="F140" s="3">
        <v>32</v>
      </c>
      <c r="G140" s="3" t="s">
        <v>23</v>
      </c>
      <c r="H140" s="3" t="s">
        <v>399</v>
      </c>
      <c r="I140" s="3"/>
      <c r="J140" s="3" t="s">
        <v>17</v>
      </c>
      <c r="K140" s="3">
        <v>33813</v>
      </c>
    </row>
    <row r="141" spans="1:11">
      <c r="A141" s="3" t="s">
        <v>400</v>
      </c>
      <c r="B141" s="3" t="s">
        <v>401</v>
      </c>
      <c r="C141" s="3" t="s">
        <v>53</v>
      </c>
      <c r="D141" s="3" t="s">
        <v>21</v>
      </c>
      <c r="E141" s="3" t="s">
        <v>22</v>
      </c>
      <c r="F141" s="3">
        <v>25</v>
      </c>
      <c r="G141" s="3" t="s">
        <v>16</v>
      </c>
      <c r="H141" s="3" t="s">
        <v>402</v>
      </c>
      <c r="I141" s="3"/>
      <c r="J141" s="3" t="s">
        <v>17</v>
      </c>
      <c r="K141" s="3">
        <v>68611</v>
      </c>
    </row>
    <row r="142" spans="1:11">
      <c r="A142" s="3" t="s">
        <v>403</v>
      </c>
      <c r="B142" s="3" t="s">
        <v>37</v>
      </c>
      <c r="C142" s="3" t="s">
        <v>213</v>
      </c>
      <c r="D142" s="3" t="s">
        <v>33</v>
      </c>
      <c r="E142" s="3" t="s">
        <v>34</v>
      </c>
      <c r="F142" s="3">
        <v>25</v>
      </c>
      <c r="G142" s="3" t="s">
        <v>16</v>
      </c>
      <c r="H142" s="3" t="s">
        <v>404</v>
      </c>
      <c r="I142" s="3"/>
      <c r="J142" s="3" t="s">
        <v>17</v>
      </c>
      <c r="K142" s="3">
        <v>56461</v>
      </c>
    </row>
    <row r="143" spans="1:11">
      <c r="A143" s="3" t="s">
        <v>405</v>
      </c>
      <c r="B143" s="3" t="s">
        <v>12</v>
      </c>
      <c r="C143" s="3" t="s">
        <v>53</v>
      </c>
      <c r="D143" s="3" t="s">
        <v>21</v>
      </c>
      <c r="E143" s="3" t="s">
        <v>22</v>
      </c>
      <c r="F143" s="3">
        <v>40</v>
      </c>
      <c r="G143" s="3" t="s">
        <v>16</v>
      </c>
      <c r="H143" s="3" t="s">
        <v>283</v>
      </c>
      <c r="I143" s="3"/>
      <c r="J143" s="3" t="s">
        <v>17</v>
      </c>
      <c r="K143" s="3">
        <v>67174</v>
      </c>
    </row>
    <row r="144" spans="1:11">
      <c r="A144" s="3" t="s">
        <v>406</v>
      </c>
      <c r="B144" s="3" t="s">
        <v>226</v>
      </c>
      <c r="C144" s="3" t="s">
        <v>69</v>
      </c>
      <c r="D144" s="3" t="s">
        <v>64</v>
      </c>
      <c r="E144" s="3" t="s">
        <v>266</v>
      </c>
      <c r="F144" s="3">
        <v>33</v>
      </c>
      <c r="G144" s="3" t="s">
        <v>16</v>
      </c>
      <c r="H144" s="3" t="s">
        <v>407</v>
      </c>
      <c r="I144" s="3"/>
      <c r="J144" s="3" t="s">
        <v>17</v>
      </c>
      <c r="K144" s="3">
        <v>85668</v>
      </c>
    </row>
    <row r="145" spans="1:11">
      <c r="A145" s="3" t="s">
        <v>408</v>
      </c>
      <c r="B145" s="3" t="s">
        <v>128</v>
      </c>
      <c r="C145" s="3" t="s">
        <v>26</v>
      </c>
      <c r="D145" s="3" t="s">
        <v>64</v>
      </c>
      <c r="E145" s="3" t="s">
        <v>161</v>
      </c>
      <c r="F145" s="3">
        <v>38</v>
      </c>
      <c r="G145" s="3" t="s">
        <v>16</v>
      </c>
      <c r="H145" s="3" t="s">
        <v>409</v>
      </c>
      <c r="I145" s="3"/>
      <c r="J145" s="3" t="s">
        <v>17</v>
      </c>
      <c r="K145" s="3">
        <v>87451</v>
      </c>
    </row>
    <row r="146" spans="1:11">
      <c r="A146" s="3" t="s">
        <v>410</v>
      </c>
      <c r="B146" s="3" t="s">
        <v>68</v>
      </c>
      <c r="C146" s="3" t="s">
        <v>164</v>
      </c>
      <c r="D146" s="3" t="s">
        <v>21</v>
      </c>
      <c r="E146" s="3" t="s">
        <v>95</v>
      </c>
      <c r="F146" s="3">
        <v>30</v>
      </c>
      <c r="G146" s="3" t="s">
        <v>16</v>
      </c>
      <c r="H146" s="4">
        <v>45414</v>
      </c>
      <c r="I146" s="3"/>
      <c r="J146" s="3" t="s">
        <v>17</v>
      </c>
      <c r="K146" s="3">
        <v>46278</v>
      </c>
    </row>
    <row r="147" spans="1:11">
      <c r="A147" s="3" t="s">
        <v>411</v>
      </c>
      <c r="B147" s="3" t="s">
        <v>93</v>
      </c>
      <c r="C147" s="3" t="s">
        <v>42</v>
      </c>
      <c r="D147" s="3" t="s">
        <v>14</v>
      </c>
      <c r="E147" s="3" t="s">
        <v>15</v>
      </c>
      <c r="F147" s="3">
        <v>41</v>
      </c>
      <c r="G147" s="3" t="s">
        <v>23</v>
      </c>
      <c r="H147" s="3" t="s">
        <v>412</v>
      </c>
      <c r="I147" s="3"/>
      <c r="J147" s="3" t="s">
        <v>17</v>
      </c>
      <c r="K147" s="3">
        <v>78870</v>
      </c>
    </row>
    <row r="148" spans="1:11">
      <c r="A148" s="3" t="s">
        <v>413</v>
      </c>
      <c r="B148" s="3" t="s">
        <v>62</v>
      </c>
      <c r="C148" s="3" t="s">
        <v>169</v>
      </c>
      <c r="D148" s="3" t="s">
        <v>187</v>
      </c>
      <c r="E148" s="3" t="s">
        <v>87</v>
      </c>
      <c r="F148" s="3">
        <v>21</v>
      </c>
      <c r="G148" s="3" t="s">
        <v>16</v>
      </c>
      <c r="H148" s="3" t="s">
        <v>414</v>
      </c>
      <c r="I148" s="3" t="s">
        <v>415</v>
      </c>
      <c r="J148" s="3" t="s">
        <v>51</v>
      </c>
      <c r="K148" s="3">
        <v>86763</v>
      </c>
    </row>
    <row r="149" spans="1:11">
      <c r="A149" s="3" t="s">
        <v>416</v>
      </c>
      <c r="B149" s="3" t="s">
        <v>90</v>
      </c>
      <c r="C149" s="3" t="s">
        <v>177</v>
      </c>
      <c r="D149" s="3" t="s">
        <v>33</v>
      </c>
      <c r="E149" s="3" t="s">
        <v>34</v>
      </c>
      <c r="F149" s="3">
        <v>29</v>
      </c>
      <c r="G149" s="3" t="s">
        <v>23</v>
      </c>
      <c r="H149" s="4">
        <v>45795</v>
      </c>
      <c r="I149" s="3"/>
      <c r="J149" s="3" t="s">
        <v>17</v>
      </c>
      <c r="K149" s="3">
        <v>68641</v>
      </c>
    </row>
    <row r="150" spans="1:11">
      <c r="A150" s="3" t="s">
        <v>417</v>
      </c>
      <c r="B150" s="3" t="s">
        <v>109</v>
      </c>
      <c r="C150" s="3" t="s">
        <v>177</v>
      </c>
      <c r="D150" s="3" t="s">
        <v>21</v>
      </c>
      <c r="E150" s="3" t="s">
        <v>22</v>
      </c>
      <c r="F150" s="3">
        <v>29</v>
      </c>
      <c r="G150" s="3" t="s">
        <v>23</v>
      </c>
      <c r="H150" s="3" t="s">
        <v>418</v>
      </c>
      <c r="I150" s="3"/>
      <c r="J150" s="3" t="s">
        <v>17</v>
      </c>
      <c r="K150" s="3">
        <v>48376</v>
      </c>
    </row>
    <row r="151" spans="1:11">
      <c r="A151" s="3" t="s">
        <v>419</v>
      </c>
      <c r="B151" s="3" t="s">
        <v>58</v>
      </c>
      <c r="C151" s="3" t="s">
        <v>135</v>
      </c>
      <c r="D151" s="3" t="s">
        <v>27</v>
      </c>
      <c r="E151" s="3" t="s">
        <v>54</v>
      </c>
      <c r="F151" s="3">
        <v>34</v>
      </c>
      <c r="G151" s="3" t="s">
        <v>16</v>
      </c>
      <c r="H151" s="3" t="s">
        <v>147</v>
      </c>
      <c r="I151" s="3"/>
      <c r="J151" s="3" t="s">
        <v>17</v>
      </c>
      <c r="K151" s="3">
        <v>56511</v>
      </c>
    </row>
    <row r="152" spans="1:11">
      <c r="A152" s="3" t="s">
        <v>420</v>
      </c>
      <c r="B152" s="3" t="s">
        <v>216</v>
      </c>
      <c r="C152" s="3" t="s">
        <v>38</v>
      </c>
      <c r="D152" s="3" t="s">
        <v>43</v>
      </c>
      <c r="E152" s="3" t="s">
        <v>70</v>
      </c>
      <c r="F152" s="3">
        <v>34</v>
      </c>
      <c r="G152" s="3" t="s">
        <v>16</v>
      </c>
      <c r="H152" s="3" t="s">
        <v>421</v>
      </c>
      <c r="I152" s="3"/>
      <c r="J152" s="3" t="s">
        <v>17</v>
      </c>
      <c r="K152" s="3">
        <v>36815</v>
      </c>
    </row>
    <row r="153" spans="1:11">
      <c r="A153" s="3" t="s">
        <v>422</v>
      </c>
      <c r="B153" s="3" t="s">
        <v>98</v>
      </c>
      <c r="C153" s="3" t="s">
        <v>13</v>
      </c>
      <c r="D153" s="3" t="s">
        <v>21</v>
      </c>
      <c r="E153" s="3" t="s">
        <v>95</v>
      </c>
      <c r="F153" s="3">
        <v>50</v>
      </c>
      <c r="G153" s="3" t="s">
        <v>16</v>
      </c>
      <c r="H153" s="3" t="s">
        <v>423</v>
      </c>
      <c r="I153" s="3"/>
      <c r="J153" s="3" t="s">
        <v>17</v>
      </c>
      <c r="K153" s="3">
        <v>45546</v>
      </c>
    </row>
    <row r="154" spans="1:11">
      <c r="A154" s="3" t="s">
        <v>424</v>
      </c>
      <c r="B154" s="3" t="s">
        <v>109</v>
      </c>
      <c r="C154" s="3" t="s">
        <v>249</v>
      </c>
      <c r="D154" s="3" t="s">
        <v>27</v>
      </c>
      <c r="E154" s="3" t="s">
        <v>122</v>
      </c>
      <c r="F154" s="3">
        <v>30</v>
      </c>
      <c r="G154" s="3" t="s">
        <v>16</v>
      </c>
      <c r="H154" s="3" t="s">
        <v>425</v>
      </c>
      <c r="I154" s="3"/>
      <c r="J154" s="3" t="s">
        <v>17</v>
      </c>
      <c r="K154" s="3">
        <v>42160</v>
      </c>
    </row>
    <row r="155" spans="1:11">
      <c r="A155" s="3" t="s">
        <v>426</v>
      </c>
      <c r="B155" s="3" t="s">
        <v>102</v>
      </c>
      <c r="C155" s="3" t="s">
        <v>26</v>
      </c>
      <c r="D155" s="3" t="s">
        <v>64</v>
      </c>
      <c r="E155" s="3" t="s">
        <v>65</v>
      </c>
      <c r="F155" s="3">
        <v>37</v>
      </c>
      <c r="G155" s="3" t="s">
        <v>23</v>
      </c>
      <c r="H155" s="3" t="s">
        <v>427</v>
      </c>
      <c r="I155" s="3"/>
      <c r="J155" s="3" t="s">
        <v>17</v>
      </c>
      <c r="K155" s="3">
        <v>71053</v>
      </c>
    </row>
    <row r="156" spans="1:11">
      <c r="A156" s="3" t="s">
        <v>428</v>
      </c>
      <c r="B156" s="3" t="s">
        <v>298</v>
      </c>
      <c r="C156" s="3" t="s">
        <v>94</v>
      </c>
      <c r="D156" s="3" t="s">
        <v>27</v>
      </c>
      <c r="E156" s="3" t="s">
        <v>28</v>
      </c>
      <c r="F156" s="3">
        <v>32</v>
      </c>
      <c r="G156" s="3" t="s">
        <v>16</v>
      </c>
      <c r="H156" s="3" t="s">
        <v>429</v>
      </c>
      <c r="I156" s="3"/>
      <c r="J156" s="3" t="s">
        <v>17</v>
      </c>
      <c r="K156" s="3">
        <v>18000</v>
      </c>
    </row>
    <row r="157" spans="1:11">
      <c r="A157" s="3" t="s">
        <v>430</v>
      </c>
      <c r="B157" s="3" t="s">
        <v>252</v>
      </c>
      <c r="C157" s="3" t="s">
        <v>129</v>
      </c>
      <c r="D157" s="3" t="s">
        <v>64</v>
      </c>
      <c r="E157" s="3" t="s">
        <v>65</v>
      </c>
      <c r="F157" s="3">
        <v>32</v>
      </c>
      <c r="G157" s="3" t="s">
        <v>16</v>
      </c>
      <c r="H157" s="3" t="s">
        <v>431</v>
      </c>
      <c r="I157" s="3"/>
      <c r="J157" s="3" t="s">
        <v>17</v>
      </c>
      <c r="K157" s="3">
        <v>91151</v>
      </c>
    </row>
    <row r="158" spans="1:11">
      <c r="A158" s="3" t="s">
        <v>432</v>
      </c>
      <c r="B158" s="3" t="s">
        <v>186</v>
      </c>
      <c r="C158" s="3" t="s">
        <v>129</v>
      </c>
      <c r="D158" s="3" t="s">
        <v>33</v>
      </c>
      <c r="E158" s="3" t="s">
        <v>79</v>
      </c>
      <c r="F158" s="3">
        <v>42</v>
      </c>
      <c r="G158" s="3" t="s">
        <v>16</v>
      </c>
      <c r="H158" s="3" t="s">
        <v>433</v>
      </c>
      <c r="I158" s="3"/>
      <c r="J158" s="3" t="s">
        <v>17</v>
      </c>
      <c r="K158" s="3">
        <v>81321</v>
      </c>
    </row>
    <row r="159" spans="1:11">
      <c r="A159" s="3" t="s">
        <v>434</v>
      </c>
      <c r="B159" s="3" t="s">
        <v>263</v>
      </c>
      <c r="C159" s="3" t="s">
        <v>69</v>
      </c>
      <c r="D159" s="3" t="s">
        <v>435</v>
      </c>
      <c r="E159" s="3" t="s">
        <v>79</v>
      </c>
      <c r="F159" s="3">
        <v>33</v>
      </c>
      <c r="G159" s="3" t="s">
        <v>16</v>
      </c>
      <c r="H159" s="3" t="s">
        <v>436</v>
      </c>
      <c r="I159" s="3"/>
      <c r="J159" s="3" t="s">
        <v>17</v>
      </c>
      <c r="K159" s="3">
        <v>68899</v>
      </c>
    </row>
    <row r="160" spans="1:11">
      <c r="A160" s="3" t="s">
        <v>437</v>
      </c>
      <c r="B160" s="3" t="s">
        <v>401</v>
      </c>
      <c r="C160" s="3" t="s">
        <v>13</v>
      </c>
      <c r="D160" s="3" t="s">
        <v>43</v>
      </c>
      <c r="E160" s="3" t="s">
        <v>70</v>
      </c>
      <c r="F160" s="3">
        <v>24</v>
      </c>
      <c r="G160" s="3" t="s">
        <v>16</v>
      </c>
      <c r="H160" s="3" t="s">
        <v>438</v>
      </c>
      <c r="I160" s="3"/>
      <c r="J160" s="3" t="s">
        <v>17</v>
      </c>
      <c r="K160" s="3">
        <v>51178</v>
      </c>
    </row>
    <row r="161" spans="1:11">
      <c r="A161" s="3" t="s">
        <v>439</v>
      </c>
      <c r="B161" s="3" t="s">
        <v>102</v>
      </c>
      <c r="C161" s="3" t="s">
        <v>32</v>
      </c>
      <c r="D161" s="3" t="s">
        <v>21</v>
      </c>
      <c r="E161" s="3" t="s">
        <v>95</v>
      </c>
      <c r="F161" s="3">
        <v>28</v>
      </c>
      <c r="G161" s="3" t="s">
        <v>16</v>
      </c>
      <c r="H161" s="3" t="s">
        <v>440</v>
      </c>
      <c r="I161" s="3"/>
      <c r="J161" s="3" t="s">
        <v>17</v>
      </c>
      <c r="K161" s="3">
        <v>50901</v>
      </c>
    </row>
    <row r="162" spans="1:11">
      <c r="A162" s="3" t="s">
        <v>441</v>
      </c>
      <c r="B162" s="3" t="s">
        <v>31</v>
      </c>
      <c r="C162" s="3" t="s">
        <v>249</v>
      </c>
      <c r="D162" s="3" t="s">
        <v>21</v>
      </c>
      <c r="E162" s="3" t="s">
        <v>22</v>
      </c>
      <c r="F162" s="3">
        <v>21</v>
      </c>
      <c r="G162" s="3" t="s">
        <v>16</v>
      </c>
      <c r="H162" s="3" t="s">
        <v>442</v>
      </c>
      <c r="I162" s="3"/>
      <c r="J162" s="3" t="s">
        <v>17</v>
      </c>
      <c r="K162" s="3">
        <v>42402</v>
      </c>
    </row>
    <row r="163" spans="1:11">
      <c r="A163" s="3" t="s">
        <v>443</v>
      </c>
      <c r="B163" s="3" t="s">
        <v>160</v>
      </c>
      <c r="C163" s="3" t="s">
        <v>59</v>
      </c>
      <c r="D163" s="3" t="s">
        <v>33</v>
      </c>
      <c r="E163" s="3" t="s">
        <v>79</v>
      </c>
      <c r="F163">
        <v>32</v>
      </c>
      <c r="G163" s="3" t="s">
        <v>16</v>
      </c>
      <c r="H163" s="3" t="s">
        <v>444</v>
      </c>
      <c r="I163" s="3"/>
      <c r="J163" s="3" t="s">
        <v>17</v>
      </c>
      <c r="K163" s="3">
        <v>74261</v>
      </c>
    </row>
    <row r="164" spans="1:11">
      <c r="A164" s="3" t="s">
        <v>445</v>
      </c>
      <c r="B164" s="3" t="s">
        <v>141</v>
      </c>
      <c r="C164" s="3" t="s">
        <v>103</v>
      </c>
      <c r="D164" s="3" t="s">
        <v>33</v>
      </c>
      <c r="E164" s="3" t="s">
        <v>79</v>
      </c>
      <c r="F164" s="3">
        <v>42</v>
      </c>
      <c r="G164" s="3" t="s">
        <v>23</v>
      </c>
      <c r="H164" s="3" t="s">
        <v>446</v>
      </c>
      <c r="I164" s="3"/>
      <c r="J164" s="3" t="s">
        <v>17</v>
      </c>
      <c r="K164" s="3">
        <v>74724</v>
      </c>
    </row>
    <row r="165" spans="1:11">
      <c r="A165" s="3" t="s">
        <v>447</v>
      </c>
      <c r="B165" s="3" t="s">
        <v>98</v>
      </c>
      <c r="C165" s="3" t="s">
        <v>42</v>
      </c>
      <c r="D165" s="3" t="s">
        <v>64</v>
      </c>
      <c r="E165" s="3" t="s">
        <v>65</v>
      </c>
      <c r="F165" s="3">
        <v>21</v>
      </c>
      <c r="G165" s="3" t="s">
        <v>23</v>
      </c>
      <c r="H165" s="3" t="s">
        <v>448</v>
      </c>
      <c r="I165" s="3" t="s">
        <v>449</v>
      </c>
      <c r="J165" s="3" t="s">
        <v>51</v>
      </c>
      <c r="K165" s="3">
        <v>24483</v>
      </c>
    </row>
    <row r="166" spans="1:11">
      <c r="A166" s="3" t="s">
        <v>450</v>
      </c>
      <c r="B166" s="3" t="s">
        <v>78</v>
      </c>
      <c r="C166" s="3" t="s">
        <v>113</v>
      </c>
      <c r="D166" s="3" t="s">
        <v>14</v>
      </c>
      <c r="E166" s="3" t="s">
        <v>75</v>
      </c>
      <c r="F166" s="3">
        <v>21</v>
      </c>
      <c r="G166" s="3" t="s">
        <v>16</v>
      </c>
      <c r="H166" s="3" t="s">
        <v>451</v>
      </c>
      <c r="I166" s="3"/>
      <c r="J166" s="3" t="s">
        <v>17</v>
      </c>
      <c r="K166" s="3">
        <v>65913</v>
      </c>
    </row>
    <row r="167" spans="1:11">
      <c r="A167" s="3" t="s">
        <v>452</v>
      </c>
      <c r="B167" s="3" t="s">
        <v>186</v>
      </c>
      <c r="C167" s="3" t="s">
        <v>177</v>
      </c>
      <c r="D167" s="3" t="s">
        <v>21</v>
      </c>
      <c r="E167" s="3" t="s">
        <v>87</v>
      </c>
      <c r="F167" s="3"/>
      <c r="G167" s="3" t="s">
        <v>16</v>
      </c>
      <c r="H167" s="3" t="s">
        <v>453</v>
      </c>
      <c r="I167" s="3"/>
      <c r="J167" s="3" t="s">
        <v>17</v>
      </c>
      <c r="K167" s="3">
        <v>45030</v>
      </c>
    </row>
    <row r="168" spans="1:11">
      <c r="A168" s="3" t="s">
        <v>454</v>
      </c>
      <c r="B168" s="3" t="s">
        <v>73</v>
      </c>
      <c r="C168" s="3" t="s">
        <v>13</v>
      </c>
      <c r="D168" s="3" t="s">
        <v>321</v>
      </c>
      <c r="E168" s="3" t="s">
        <v>22</v>
      </c>
      <c r="F168" s="3">
        <v>41</v>
      </c>
      <c r="G168" s="3" t="s">
        <v>23</v>
      </c>
      <c r="H168" s="3" t="s">
        <v>455</v>
      </c>
      <c r="I168" s="3"/>
      <c r="J168" s="3" t="s">
        <v>17</v>
      </c>
      <c r="K168" s="3">
        <v>46746</v>
      </c>
    </row>
    <row r="169" spans="1:11">
      <c r="A169" s="3" t="s">
        <v>456</v>
      </c>
      <c r="B169" s="3" t="s">
        <v>263</v>
      </c>
      <c r="C169" s="3" t="s">
        <v>174</v>
      </c>
      <c r="D169" s="3" t="s">
        <v>64</v>
      </c>
      <c r="E169" s="3" t="s">
        <v>161</v>
      </c>
      <c r="F169" s="3">
        <v>33</v>
      </c>
      <c r="G169" s="3" t="s">
        <v>23</v>
      </c>
      <c r="H169" s="3" t="s">
        <v>457</v>
      </c>
      <c r="I169" s="3"/>
      <c r="J169" s="3" t="s">
        <v>17</v>
      </c>
      <c r="K169" s="3">
        <v>26783</v>
      </c>
    </row>
    <row r="170" spans="1:11">
      <c r="A170" s="3" t="s">
        <v>458</v>
      </c>
      <c r="B170" s="3" t="s">
        <v>160</v>
      </c>
      <c r="C170" s="3" t="s">
        <v>32</v>
      </c>
      <c r="D170" s="3" t="s">
        <v>64</v>
      </c>
      <c r="E170" s="3" t="s">
        <v>65</v>
      </c>
      <c r="F170" s="3">
        <v>36</v>
      </c>
      <c r="G170" s="3" t="s">
        <v>23</v>
      </c>
      <c r="H170" s="3" t="s">
        <v>459</v>
      </c>
      <c r="I170" s="3" t="s">
        <v>460</v>
      </c>
      <c r="J170" s="3" t="s">
        <v>51</v>
      </c>
      <c r="K170" s="3">
        <v>36449</v>
      </c>
    </row>
    <row r="171" spans="1:11">
      <c r="A171" s="3" t="s">
        <v>461</v>
      </c>
      <c r="B171" s="3" t="s">
        <v>152</v>
      </c>
      <c r="C171" s="3" t="s">
        <v>13</v>
      </c>
      <c r="D171" s="3" t="s">
        <v>43</v>
      </c>
      <c r="E171" s="3" t="s">
        <v>48</v>
      </c>
      <c r="F171" s="3">
        <v>32</v>
      </c>
      <c r="G171" s="3" t="s">
        <v>23</v>
      </c>
      <c r="H171" s="3" t="s">
        <v>462</v>
      </c>
      <c r="I171" s="3"/>
      <c r="J171" s="3" t="s">
        <v>17</v>
      </c>
      <c r="K171" s="3">
        <v>77576</v>
      </c>
    </row>
    <row r="172" spans="1:11">
      <c r="A172" s="3" t="s">
        <v>463</v>
      </c>
      <c r="B172" s="3" t="s">
        <v>58</v>
      </c>
      <c r="C172" s="3" t="s">
        <v>94</v>
      </c>
      <c r="D172" s="3" t="s">
        <v>21</v>
      </c>
      <c r="E172" s="3" t="s">
        <v>22</v>
      </c>
      <c r="F172" s="3">
        <v>28</v>
      </c>
      <c r="G172" s="3" t="s">
        <v>23</v>
      </c>
      <c r="H172" s="3" t="s">
        <v>464</v>
      </c>
      <c r="I172" s="3"/>
      <c r="J172" s="3" t="s">
        <v>17</v>
      </c>
      <c r="K172" s="3">
        <v>93946</v>
      </c>
    </row>
    <row r="173" spans="1:11">
      <c r="A173" s="3" t="s">
        <v>465</v>
      </c>
      <c r="B173" s="3" t="s">
        <v>93</v>
      </c>
      <c r="C173" s="3" t="s">
        <v>42</v>
      </c>
      <c r="D173" s="3" t="s">
        <v>64</v>
      </c>
      <c r="E173" s="3" t="s">
        <v>65</v>
      </c>
      <c r="F173" s="3">
        <v>33</v>
      </c>
      <c r="G173" s="3" t="s">
        <v>16</v>
      </c>
      <c r="H173" s="3" t="s">
        <v>466</v>
      </c>
      <c r="I173" s="3"/>
      <c r="J173" s="3" t="s">
        <v>17</v>
      </c>
      <c r="K173" s="3">
        <v>43455</v>
      </c>
    </row>
    <row r="174" spans="1:11">
      <c r="A174" s="3" t="s">
        <v>467</v>
      </c>
      <c r="B174" s="3" t="s">
        <v>468</v>
      </c>
      <c r="C174" s="3" t="s">
        <v>113</v>
      </c>
      <c r="D174" s="3" t="s">
        <v>27</v>
      </c>
      <c r="E174" s="3" t="s">
        <v>28</v>
      </c>
      <c r="F174" s="3">
        <v>29</v>
      </c>
      <c r="G174" s="3" t="s">
        <v>16</v>
      </c>
      <c r="H174" s="3" t="s">
        <v>469</v>
      </c>
      <c r="I174" s="3"/>
      <c r="J174" s="3" t="s">
        <v>17</v>
      </c>
      <c r="K174" s="3">
        <v>41146</v>
      </c>
    </row>
    <row r="175" spans="1:11">
      <c r="A175" s="3" t="s">
        <v>470</v>
      </c>
      <c r="B175" s="3" t="s">
        <v>102</v>
      </c>
      <c r="C175" s="3" t="s">
        <v>63</v>
      </c>
      <c r="D175" s="3" t="s">
        <v>21</v>
      </c>
      <c r="E175" s="3" t="s">
        <v>155</v>
      </c>
      <c r="F175" s="3">
        <v>21</v>
      </c>
      <c r="G175" s="3" t="s">
        <v>16</v>
      </c>
      <c r="H175" s="3" t="s">
        <v>471</v>
      </c>
      <c r="I175" s="3"/>
      <c r="J175" s="3" t="s">
        <v>17</v>
      </c>
      <c r="K175" s="3">
        <v>30214</v>
      </c>
    </row>
    <row r="176" spans="1:11">
      <c r="A176" s="3" t="s">
        <v>472</v>
      </c>
      <c r="B176" s="3" t="s">
        <v>62</v>
      </c>
      <c r="C176" s="3" t="s">
        <v>74</v>
      </c>
      <c r="D176" s="3" t="s">
        <v>21</v>
      </c>
      <c r="E176" s="3" t="s">
        <v>155</v>
      </c>
      <c r="F176" s="3">
        <v>27</v>
      </c>
      <c r="G176" s="3" t="s">
        <v>16</v>
      </c>
      <c r="H176" s="3" t="s">
        <v>473</v>
      </c>
      <c r="I176" s="3"/>
      <c r="J176" s="3" t="s">
        <v>17</v>
      </c>
      <c r="K176" s="3">
        <v>76235</v>
      </c>
    </row>
    <row r="177" spans="1:11">
      <c r="A177" s="3" t="s">
        <v>474</v>
      </c>
      <c r="B177" s="3" t="s">
        <v>47</v>
      </c>
      <c r="C177" s="3" t="s">
        <v>69</v>
      </c>
      <c r="D177" s="3" t="s">
        <v>33</v>
      </c>
      <c r="E177" s="3" t="s">
        <v>34</v>
      </c>
      <c r="F177" s="3">
        <v>27</v>
      </c>
      <c r="G177" s="3" t="s">
        <v>16</v>
      </c>
      <c r="H177" s="3" t="s">
        <v>475</v>
      </c>
      <c r="I177" s="3"/>
      <c r="J177" s="3" t="s">
        <v>17</v>
      </c>
      <c r="K177" s="3">
        <v>47395</v>
      </c>
    </row>
    <row r="178" spans="1:11">
      <c r="A178" s="3" t="s">
        <v>476</v>
      </c>
      <c r="B178" s="3" t="s">
        <v>298</v>
      </c>
      <c r="C178" s="3" t="s">
        <v>53</v>
      </c>
      <c r="D178" s="3" t="s">
        <v>43</v>
      </c>
      <c r="E178" s="3" t="s">
        <v>48</v>
      </c>
      <c r="F178" s="3">
        <v>36</v>
      </c>
      <c r="G178" s="3" t="s">
        <v>23</v>
      </c>
      <c r="H178" s="3" t="s">
        <v>477</v>
      </c>
      <c r="I178" s="3"/>
      <c r="J178" s="3" t="s">
        <v>17</v>
      </c>
      <c r="K178" s="3">
        <v>78659</v>
      </c>
    </row>
    <row r="179" spans="1:11">
      <c r="A179" s="3" t="s">
        <v>478</v>
      </c>
      <c r="B179" s="3" t="s">
        <v>298</v>
      </c>
      <c r="C179" s="3" t="s">
        <v>113</v>
      </c>
      <c r="D179" s="3" t="s">
        <v>21</v>
      </c>
      <c r="E179" s="3" t="s">
        <v>22</v>
      </c>
      <c r="F179" s="3">
        <v>46</v>
      </c>
      <c r="G179" s="3" t="s">
        <v>23</v>
      </c>
      <c r="H179" s="3" t="s">
        <v>479</v>
      </c>
      <c r="I179" s="3"/>
      <c r="J179" s="3" t="s">
        <v>17</v>
      </c>
      <c r="K179" s="3">
        <v>44333</v>
      </c>
    </row>
    <row r="180" spans="1:11">
      <c r="A180" s="3" t="s">
        <v>480</v>
      </c>
      <c r="B180" s="3" t="s">
        <v>468</v>
      </c>
      <c r="C180" s="3" t="s">
        <v>249</v>
      </c>
      <c r="D180" s="3" t="s">
        <v>27</v>
      </c>
      <c r="E180" s="3" t="s">
        <v>28</v>
      </c>
      <c r="F180" s="3">
        <v>33</v>
      </c>
      <c r="G180" s="3" t="s">
        <v>23</v>
      </c>
      <c r="H180" s="3" t="s">
        <v>481</v>
      </c>
      <c r="I180" s="3"/>
      <c r="J180" s="3" t="s">
        <v>17</v>
      </c>
      <c r="K180" s="3">
        <v>76553</v>
      </c>
    </row>
    <row r="181" spans="1:11">
      <c r="A181" s="3" t="s">
        <v>482</v>
      </c>
      <c r="B181" s="3" t="s">
        <v>223</v>
      </c>
      <c r="C181" s="3" t="s">
        <v>94</v>
      </c>
      <c r="D181" s="3" t="s">
        <v>27</v>
      </c>
      <c r="E181" s="3" t="s">
        <v>28</v>
      </c>
      <c r="F181" s="3">
        <v>39</v>
      </c>
      <c r="G181" s="3" t="s">
        <v>23</v>
      </c>
      <c r="H181" s="3" t="s">
        <v>483</v>
      </c>
      <c r="I181" s="3"/>
      <c r="J181" s="3" t="s">
        <v>17</v>
      </c>
      <c r="K181" s="3">
        <v>96534</v>
      </c>
    </row>
    <row r="182" spans="1:11">
      <c r="A182" s="3" t="s">
        <v>484</v>
      </c>
      <c r="B182" s="3" t="s">
        <v>109</v>
      </c>
      <c r="C182" s="3" t="s">
        <v>174</v>
      </c>
      <c r="D182" s="3" t="s">
        <v>43</v>
      </c>
      <c r="E182" s="3" t="s">
        <v>70</v>
      </c>
      <c r="F182" s="3">
        <v>39</v>
      </c>
      <c r="G182" s="3" t="s">
        <v>23</v>
      </c>
      <c r="H182" s="3" t="s">
        <v>66</v>
      </c>
      <c r="I182" s="3"/>
      <c r="J182" s="3" t="s">
        <v>17</v>
      </c>
      <c r="K182" s="3">
        <v>79599</v>
      </c>
    </row>
    <row r="183" spans="1:11">
      <c r="A183" s="3" t="s">
        <v>485</v>
      </c>
      <c r="B183" s="3" t="s">
        <v>468</v>
      </c>
      <c r="C183" s="3" t="s">
        <v>26</v>
      </c>
      <c r="D183" s="3" t="s">
        <v>64</v>
      </c>
      <c r="E183" s="3" t="s">
        <v>266</v>
      </c>
      <c r="F183" s="3">
        <v>48</v>
      </c>
      <c r="G183" s="3" t="s">
        <v>23</v>
      </c>
      <c r="H183" s="4">
        <v>45830</v>
      </c>
      <c r="I183" s="3"/>
      <c r="J183" s="3" t="s">
        <v>17</v>
      </c>
      <c r="K183" s="3">
        <v>73230</v>
      </c>
    </row>
    <row r="184" spans="1:11">
      <c r="A184" s="3" t="s">
        <v>486</v>
      </c>
      <c r="B184" s="3" t="s">
        <v>47</v>
      </c>
      <c r="C184" s="3" t="s">
        <v>169</v>
      </c>
      <c r="D184" s="3" t="s">
        <v>27</v>
      </c>
      <c r="E184" s="3" t="s">
        <v>54</v>
      </c>
      <c r="F184" s="3">
        <v>40</v>
      </c>
      <c r="G184" s="3" t="s">
        <v>23</v>
      </c>
      <c r="H184" s="3" t="s">
        <v>487</v>
      </c>
      <c r="I184" s="3" t="s">
        <v>488</v>
      </c>
      <c r="J184" s="3" t="s">
        <v>51</v>
      </c>
      <c r="K184" s="3">
        <v>34498</v>
      </c>
    </row>
    <row r="185" spans="1:11">
      <c r="A185" s="3" t="s">
        <v>489</v>
      </c>
      <c r="B185" s="3" t="s">
        <v>78</v>
      </c>
      <c r="C185" s="3" t="s">
        <v>26</v>
      </c>
      <c r="D185" s="3" t="s">
        <v>33</v>
      </c>
      <c r="E185" s="3" t="s">
        <v>34</v>
      </c>
      <c r="F185" s="3">
        <v>29</v>
      </c>
      <c r="G185" s="3" t="s">
        <v>23</v>
      </c>
      <c r="H185" s="3" t="s">
        <v>490</v>
      </c>
      <c r="I185" s="3"/>
      <c r="J185" s="3" t="s">
        <v>17</v>
      </c>
      <c r="K185" s="3">
        <v>42636</v>
      </c>
    </row>
    <row r="186" spans="1:11">
      <c r="A186" s="3" t="s">
        <v>491</v>
      </c>
      <c r="B186" s="3" t="s">
        <v>58</v>
      </c>
      <c r="C186" s="3" t="s">
        <v>74</v>
      </c>
      <c r="D186" s="3" t="s">
        <v>43</v>
      </c>
      <c r="E186" s="3" t="s">
        <v>70</v>
      </c>
      <c r="F186" s="3">
        <v>32</v>
      </c>
      <c r="G186" s="3" t="s">
        <v>23</v>
      </c>
      <c r="H186" s="3" t="s">
        <v>200</v>
      </c>
      <c r="I186" s="3" t="s">
        <v>492</v>
      </c>
      <c r="J186" s="3" t="s">
        <v>51</v>
      </c>
      <c r="K186" s="3">
        <v>38936</v>
      </c>
    </row>
    <row r="187" spans="1:11">
      <c r="A187" s="3" t="s">
        <v>493</v>
      </c>
      <c r="B187" s="3" t="s">
        <v>238</v>
      </c>
      <c r="C187" s="3" t="s">
        <v>169</v>
      </c>
      <c r="D187" s="3" t="s">
        <v>33</v>
      </c>
      <c r="E187" s="3" t="s">
        <v>34</v>
      </c>
      <c r="F187" s="3">
        <v>34</v>
      </c>
      <c r="G187" s="3" t="s">
        <v>16</v>
      </c>
      <c r="H187" s="3" t="s">
        <v>494</v>
      </c>
      <c r="I187" s="3"/>
      <c r="J187" s="3" t="s">
        <v>17</v>
      </c>
      <c r="K187" s="3">
        <v>30314</v>
      </c>
    </row>
    <row r="188" spans="1:11">
      <c r="A188" s="3" t="s">
        <v>495</v>
      </c>
      <c r="B188" s="3" t="s">
        <v>37</v>
      </c>
      <c r="C188" s="3" t="s">
        <v>205</v>
      </c>
      <c r="D188" s="3" t="s">
        <v>43</v>
      </c>
      <c r="E188" s="3" t="s">
        <v>70</v>
      </c>
      <c r="F188" s="3">
        <v>36</v>
      </c>
      <c r="G188" s="3" t="s">
        <v>23</v>
      </c>
      <c r="H188" s="3" t="s">
        <v>153</v>
      </c>
      <c r="I188" s="3"/>
      <c r="J188" s="3" t="s">
        <v>17</v>
      </c>
      <c r="K188" s="3">
        <v>20933</v>
      </c>
    </row>
    <row r="189" spans="1:11">
      <c r="A189" s="3" t="s">
        <v>496</v>
      </c>
      <c r="B189" s="3" t="s">
        <v>102</v>
      </c>
      <c r="C189" s="3" t="s">
        <v>205</v>
      </c>
      <c r="D189" s="3" t="s">
        <v>21</v>
      </c>
      <c r="E189" s="3" t="s">
        <v>155</v>
      </c>
      <c r="F189" s="3">
        <v>33</v>
      </c>
      <c r="G189" s="3" t="s">
        <v>16</v>
      </c>
      <c r="H189" s="3" t="s">
        <v>497</v>
      </c>
      <c r="I189" s="3"/>
      <c r="J189" s="3" t="s">
        <v>17</v>
      </c>
      <c r="K189" s="3">
        <v>41138</v>
      </c>
    </row>
    <row r="190" spans="1:11">
      <c r="A190" s="3" t="s">
        <v>498</v>
      </c>
      <c r="B190" s="3" t="s">
        <v>141</v>
      </c>
      <c r="C190" s="3" t="s">
        <v>94</v>
      </c>
      <c r="D190" s="3" t="s">
        <v>33</v>
      </c>
      <c r="E190" s="3" t="s">
        <v>79</v>
      </c>
      <c r="F190" s="3">
        <v>21</v>
      </c>
      <c r="G190" s="3" t="s">
        <v>16</v>
      </c>
      <c r="H190" s="3" t="s">
        <v>438</v>
      </c>
      <c r="I190" s="3"/>
      <c r="J190" s="3" t="s">
        <v>17</v>
      </c>
      <c r="K190" s="3">
        <v>64385</v>
      </c>
    </row>
    <row r="191" spans="1:11">
      <c r="A191" s="3" t="s">
        <v>499</v>
      </c>
      <c r="B191" s="3" t="s">
        <v>128</v>
      </c>
      <c r="C191" s="3" t="s">
        <v>164</v>
      </c>
      <c r="D191" s="3" t="s">
        <v>43</v>
      </c>
      <c r="E191" s="3" t="s">
        <v>48</v>
      </c>
      <c r="F191" s="3">
        <v>25</v>
      </c>
      <c r="G191" s="3" t="s">
        <v>23</v>
      </c>
      <c r="H191" s="3" t="s">
        <v>500</v>
      </c>
      <c r="I191" s="3"/>
      <c r="J191" s="3" t="s">
        <v>17</v>
      </c>
      <c r="K191" s="3">
        <v>56284</v>
      </c>
    </row>
    <row r="192" spans="1:11">
      <c r="A192" s="3" t="s">
        <v>501</v>
      </c>
      <c r="B192" s="3" t="s">
        <v>90</v>
      </c>
      <c r="C192" s="3" t="s">
        <v>213</v>
      </c>
      <c r="D192" s="3" t="s">
        <v>64</v>
      </c>
      <c r="E192" s="3" t="s">
        <v>65</v>
      </c>
      <c r="F192" s="3">
        <v>38</v>
      </c>
      <c r="G192" s="3" t="s">
        <v>23</v>
      </c>
      <c r="H192" s="3" t="s">
        <v>502</v>
      </c>
      <c r="I192" s="3"/>
      <c r="J192" s="3" t="s">
        <v>17</v>
      </c>
      <c r="K192" s="3">
        <v>24604</v>
      </c>
    </row>
    <row r="193" spans="1:11">
      <c r="A193" s="3" t="s">
        <v>503</v>
      </c>
      <c r="B193" s="3" t="s">
        <v>47</v>
      </c>
      <c r="C193" s="3" t="s">
        <v>69</v>
      </c>
      <c r="D193" s="3" t="s">
        <v>14</v>
      </c>
      <c r="E193" s="3" t="s">
        <v>75</v>
      </c>
      <c r="F193" s="3">
        <v>21</v>
      </c>
      <c r="G193" s="3" t="s">
        <v>16</v>
      </c>
      <c r="H193" s="3" t="s">
        <v>504</v>
      </c>
      <c r="I193" s="3"/>
      <c r="J193" s="3" t="s">
        <v>17</v>
      </c>
      <c r="K193" s="3">
        <v>67922</v>
      </c>
    </row>
    <row r="194" spans="1:11">
      <c r="A194" s="3" t="s">
        <v>505</v>
      </c>
      <c r="B194" s="3" t="s">
        <v>145</v>
      </c>
      <c r="C194" s="3" t="s">
        <v>205</v>
      </c>
      <c r="D194" s="3" t="s">
        <v>21</v>
      </c>
      <c r="E194" s="3" t="s">
        <v>22</v>
      </c>
      <c r="F194" s="3">
        <v>25</v>
      </c>
      <c r="G194" s="3" t="s">
        <v>23</v>
      </c>
      <c r="H194" s="3" t="s">
        <v>506</v>
      </c>
      <c r="I194" s="3"/>
      <c r="J194" s="3" t="s">
        <v>17</v>
      </c>
      <c r="K194" s="3">
        <v>18000</v>
      </c>
    </row>
    <row r="195" spans="1:11">
      <c r="A195" s="3" t="s">
        <v>507</v>
      </c>
      <c r="B195" s="3" t="s">
        <v>298</v>
      </c>
      <c r="C195" s="3" t="s">
        <v>13</v>
      </c>
      <c r="D195" s="3" t="s">
        <v>43</v>
      </c>
      <c r="E195" s="3" t="s">
        <v>44</v>
      </c>
      <c r="F195" s="3">
        <v>30</v>
      </c>
      <c r="G195" s="3" t="s">
        <v>16</v>
      </c>
      <c r="H195" s="3" t="s">
        <v>508</v>
      </c>
      <c r="I195" s="3"/>
      <c r="J195" s="3" t="s">
        <v>17</v>
      </c>
      <c r="K195" s="3">
        <v>94710</v>
      </c>
    </row>
    <row r="196" spans="1:11">
      <c r="A196" s="3" t="s">
        <v>509</v>
      </c>
      <c r="B196" s="3" t="s">
        <v>47</v>
      </c>
      <c r="C196" s="3" t="s">
        <v>205</v>
      </c>
      <c r="D196" s="3" t="s">
        <v>21</v>
      </c>
      <c r="E196" s="3" t="s">
        <v>95</v>
      </c>
      <c r="F196" s="3">
        <v>35</v>
      </c>
      <c r="G196" s="3" t="s">
        <v>23</v>
      </c>
      <c r="H196" s="4">
        <v>45739</v>
      </c>
      <c r="I196" s="3"/>
      <c r="J196" s="3" t="s">
        <v>17</v>
      </c>
      <c r="K196" s="3">
        <v>46825</v>
      </c>
    </row>
    <row r="197" spans="1:11">
      <c r="A197" s="3" t="s">
        <v>510</v>
      </c>
      <c r="B197" s="3" t="s">
        <v>109</v>
      </c>
      <c r="C197" s="3" t="s">
        <v>38</v>
      </c>
      <c r="D197" s="3" t="s">
        <v>21</v>
      </c>
      <c r="E197" s="3" t="s">
        <v>95</v>
      </c>
      <c r="F197" s="3">
        <v>34</v>
      </c>
      <c r="G197" s="3" t="s">
        <v>23</v>
      </c>
      <c r="H197" s="3" t="s">
        <v>511</v>
      </c>
      <c r="I197" s="3" t="s">
        <v>512</v>
      </c>
      <c r="J197" s="3" t="s">
        <v>51</v>
      </c>
      <c r="K197" s="3">
        <v>75084</v>
      </c>
    </row>
    <row r="198" spans="1:11">
      <c r="A198" s="3" t="s">
        <v>513</v>
      </c>
      <c r="B198" s="3" t="s">
        <v>252</v>
      </c>
      <c r="C198" s="3" t="s">
        <v>59</v>
      </c>
      <c r="D198" s="3" t="s">
        <v>43</v>
      </c>
      <c r="E198" s="3" t="s">
        <v>70</v>
      </c>
      <c r="F198" s="3">
        <v>37</v>
      </c>
      <c r="G198" s="3" t="s">
        <v>16</v>
      </c>
      <c r="H198" s="3" t="s">
        <v>514</v>
      </c>
      <c r="I198" s="3"/>
      <c r="J198" s="3" t="s">
        <v>17</v>
      </c>
      <c r="K198" s="3">
        <v>33346</v>
      </c>
    </row>
    <row r="199" spans="1:11">
      <c r="A199" s="3" t="s">
        <v>515</v>
      </c>
      <c r="B199" s="3" t="s">
        <v>298</v>
      </c>
      <c r="C199" s="3" t="s">
        <v>146</v>
      </c>
      <c r="D199" s="3" t="s">
        <v>21</v>
      </c>
      <c r="E199" s="3" t="s">
        <v>95</v>
      </c>
      <c r="F199" s="3">
        <v>37</v>
      </c>
      <c r="G199" s="3" t="s">
        <v>16</v>
      </c>
      <c r="H199" s="3" t="s">
        <v>516</v>
      </c>
      <c r="I199" s="3"/>
      <c r="J199" s="3" t="s">
        <v>17</v>
      </c>
      <c r="K199" s="3">
        <v>72079</v>
      </c>
    </row>
    <row r="200" spans="1:11">
      <c r="A200" s="3" t="s">
        <v>517</v>
      </c>
      <c r="B200" s="3" t="s">
        <v>121</v>
      </c>
      <c r="C200" s="3" t="s">
        <v>169</v>
      </c>
      <c r="D200" s="3" t="s">
        <v>21</v>
      </c>
      <c r="E200" s="3" t="s">
        <v>87</v>
      </c>
      <c r="F200" s="3">
        <v>29</v>
      </c>
      <c r="G200" s="3" t="s">
        <v>16</v>
      </c>
      <c r="H200" s="3" t="s">
        <v>518</v>
      </c>
      <c r="I200" s="3" t="s">
        <v>519</v>
      </c>
      <c r="J200" s="3" t="s">
        <v>51</v>
      </c>
      <c r="K200" s="3">
        <v>43232</v>
      </c>
    </row>
    <row r="201" spans="1:11">
      <c r="A201" s="3" t="s">
        <v>520</v>
      </c>
      <c r="B201" s="3" t="s">
        <v>160</v>
      </c>
      <c r="C201" s="3" t="s">
        <v>213</v>
      </c>
      <c r="D201" s="3" t="s">
        <v>64</v>
      </c>
      <c r="E201" s="3" t="s">
        <v>266</v>
      </c>
      <c r="F201" s="3">
        <v>30</v>
      </c>
      <c r="G201" s="3" t="s">
        <v>23</v>
      </c>
      <c r="H201" s="3" t="s">
        <v>521</v>
      </c>
      <c r="I201" s="3"/>
      <c r="J201" s="3" t="s">
        <v>17</v>
      </c>
      <c r="K201" s="3">
        <v>72296</v>
      </c>
    </row>
    <row r="202" spans="1:11">
      <c r="A202" s="3" t="s">
        <v>522</v>
      </c>
      <c r="B202" s="3" t="s">
        <v>186</v>
      </c>
      <c r="C202" s="3" t="s">
        <v>146</v>
      </c>
      <c r="D202" s="3" t="s">
        <v>239</v>
      </c>
      <c r="E202" s="3" t="s">
        <v>28</v>
      </c>
      <c r="F202" s="3">
        <v>31</v>
      </c>
      <c r="G202" s="3" t="s">
        <v>16</v>
      </c>
      <c r="H202" s="3" t="s">
        <v>523</v>
      </c>
      <c r="I202" s="3"/>
      <c r="J202" s="3" t="s">
        <v>17</v>
      </c>
      <c r="K202" s="3">
        <v>64863</v>
      </c>
    </row>
    <row r="203" spans="1:11">
      <c r="A203" s="3" t="s">
        <v>524</v>
      </c>
      <c r="B203" s="3" t="s">
        <v>298</v>
      </c>
      <c r="C203" s="3" t="s">
        <v>129</v>
      </c>
      <c r="D203" s="3" t="s">
        <v>239</v>
      </c>
      <c r="E203" s="3" t="s">
        <v>54</v>
      </c>
      <c r="F203" s="3">
        <v>30</v>
      </c>
      <c r="G203" s="3" t="s">
        <v>16</v>
      </c>
      <c r="H203" s="3" t="s">
        <v>525</v>
      </c>
      <c r="I203" s="3"/>
      <c r="J203" s="3" t="s">
        <v>17</v>
      </c>
      <c r="K203" s="3">
        <v>46407</v>
      </c>
    </row>
    <row r="204" spans="1:11">
      <c r="A204" s="3" t="s">
        <v>526</v>
      </c>
      <c r="B204" s="3" t="s">
        <v>401</v>
      </c>
      <c r="C204" s="3" t="s">
        <v>69</v>
      </c>
      <c r="D204" s="3" t="s">
        <v>27</v>
      </c>
      <c r="E204" s="3" t="s">
        <v>54</v>
      </c>
      <c r="F204" s="3">
        <v>33</v>
      </c>
      <c r="G204" s="3" t="s">
        <v>16</v>
      </c>
      <c r="H204" s="3" t="s">
        <v>527</v>
      </c>
      <c r="I204" s="3"/>
      <c r="J204" s="3" t="s">
        <v>17</v>
      </c>
      <c r="K204" s="3">
        <v>57576</v>
      </c>
    </row>
    <row r="205" spans="1:11">
      <c r="A205" s="3" t="s">
        <v>528</v>
      </c>
      <c r="B205" s="3" t="s">
        <v>112</v>
      </c>
      <c r="C205" s="3" t="s">
        <v>94</v>
      </c>
      <c r="D205" s="3" t="s">
        <v>21</v>
      </c>
      <c r="E205" s="3" t="s">
        <v>155</v>
      </c>
      <c r="F205" s="3">
        <v>26</v>
      </c>
      <c r="G205" s="3" t="s">
        <v>23</v>
      </c>
      <c r="H205" s="3" t="s">
        <v>529</v>
      </c>
      <c r="I205" s="3"/>
      <c r="J205" s="3" t="s">
        <v>17</v>
      </c>
      <c r="K205" s="3">
        <v>75387</v>
      </c>
    </row>
    <row r="206" spans="1:11">
      <c r="A206" s="3" t="s">
        <v>530</v>
      </c>
      <c r="B206" s="3" t="s">
        <v>86</v>
      </c>
      <c r="C206" s="3" t="s">
        <v>63</v>
      </c>
      <c r="D206" s="3" t="s">
        <v>27</v>
      </c>
      <c r="E206" s="3" t="s">
        <v>54</v>
      </c>
      <c r="F206" s="3">
        <v>21</v>
      </c>
      <c r="G206" s="3" t="s">
        <v>23</v>
      </c>
      <c r="H206" s="3" t="s">
        <v>531</v>
      </c>
      <c r="I206" s="3"/>
      <c r="J206" s="3" t="s">
        <v>17</v>
      </c>
      <c r="K206" s="3">
        <v>57769</v>
      </c>
    </row>
    <row r="207" spans="1:11">
      <c r="A207" s="3" t="s">
        <v>532</v>
      </c>
      <c r="B207" s="3" t="s">
        <v>86</v>
      </c>
      <c r="C207" s="3" t="s">
        <v>20</v>
      </c>
      <c r="D207" s="3" t="s">
        <v>64</v>
      </c>
      <c r="E207" s="3" t="s">
        <v>161</v>
      </c>
      <c r="F207" s="3">
        <v>32</v>
      </c>
      <c r="G207" s="3" t="s">
        <v>16</v>
      </c>
      <c r="H207" s="3" t="s">
        <v>143</v>
      </c>
      <c r="I207" s="3"/>
      <c r="J207" s="3" t="s">
        <v>17</v>
      </c>
      <c r="K207" s="3">
        <v>39091</v>
      </c>
    </row>
    <row r="208" spans="1:11">
      <c r="A208" s="3" t="s">
        <v>533</v>
      </c>
      <c r="B208" s="3" t="s">
        <v>288</v>
      </c>
      <c r="C208" s="3" t="s">
        <v>174</v>
      </c>
      <c r="D208" s="3" t="s">
        <v>21</v>
      </c>
      <c r="E208" s="3" t="s">
        <v>95</v>
      </c>
      <c r="F208" s="3">
        <v>41</v>
      </c>
      <c r="G208" s="3" t="s">
        <v>16</v>
      </c>
      <c r="H208" s="3" t="s">
        <v>534</v>
      </c>
      <c r="I208" s="3"/>
      <c r="J208" s="3" t="s">
        <v>17</v>
      </c>
      <c r="K208" s="3">
        <v>53342</v>
      </c>
    </row>
    <row r="209" spans="1:11">
      <c r="A209" s="3" t="s">
        <v>535</v>
      </c>
      <c r="B209" s="3" t="s">
        <v>73</v>
      </c>
      <c r="C209" s="3" t="s">
        <v>69</v>
      </c>
      <c r="D209" s="3" t="s">
        <v>64</v>
      </c>
      <c r="E209" s="3" t="s">
        <v>65</v>
      </c>
      <c r="F209" s="3">
        <v>33</v>
      </c>
      <c r="G209" s="3" t="s">
        <v>16</v>
      </c>
      <c r="H209" s="3" t="s">
        <v>536</v>
      </c>
      <c r="I209" s="3"/>
      <c r="J209" s="3" t="s">
        <v>17</v>
      </c>
      <c r="K209" s="3">
        <v>84141</v>
      </c>
    </row>
    <row r="210" spans="1:11">
      <c r="A210" s="3" t="s">
        <v>537</v>
      </c>
      <c r="B210" s="3" t="s">
        <v>468</v>
      </c>
      <c r="C210" s="3" t="s">
        <v>205</v>
      </c>
      <c r="D210" s="3" t="s">
        <v>27</v>
      </c>
      <c r="E210" s="3" t="s">
        <v>122</v>
      </c>
      <c r="F210" s="3">
        <v>26</v>
      </c>
      <c r="G210" s="3" t="s">
        <v>16</v>
      </c>
      <c r="H210" s="3" t="s">
        <v>538</v>
      </c>
      <c r="I210" s="3"/>
      <c r="J210" s="3" t="s">
        <v>17</v>
      </c>
      <c r="K210" s="3">
        <v>39634</v>
      </c>
    </row>
    <row r="211" spans="1:11">
      <c r="A211" s="3" t="s">
        <v>539</v>
      </c>
      <c r="B211" s="3" t="s">
        <v>47</v>
      </c>
      <c r="C211" s="3" t="s">
        <v>69</v>
      </c>
      <c r="D211" s="3" t="s">
        <v>118</v>
      </c>
      <c r="E211" s="3" t="s">
        <v>70</v>
      </c>
      <c r="F211" s="3">
        <v>22</v>
      </c>
      <c r="G211" s="3" t="s">
        <v>23</v>
      </c>
      <c r="H211" s="3" t="s">
        <v>540</v>
      </c>
      <c r="I211" s="3" t="s">
        <v>541</v>
      </c>
      <c r="J211" s="3" t="s">
        <v>51</v>
      </c>
      <c r="K211" s="3">
        <v>33262</v>
      </c>
    </row>
    <row r="212" spans="1:11">
      <c r="A212" s="3" t="s">
        <v>542</v>
      </c>
      <c r="B212" s="3" t="s">
        <v>141</v>
      </c>
      <c r="C212" s="3" t="s">
        <v>13</v>
      </c>
      <c r="D212" s="3" t="s">
        <v>27</v>
      </c>
      <c r="E212" s="3" t="s">
        <v>28</v>
      </c>
      <c r="F212" s="3">
        <v>40</v>
      </c>
      <c r="G212" s="3" t="s">
        <v>23</v>
      </c>
      <c r="H212" s="3" t="s">
        <v>543</v>
      </c>
      <c r="I212" s="3"/>
      <c r="J212" s="3" t="s">
        <v>17</v>
      </c>
      <c r="K212" s="3">
        <v>55920</v>
      </c>
    </row>
    <row r="213" spans="1:11">
      <c r="A213" s="3" t="s">
        <v>544</v>
      </c>
      <c r="B213" s="3" t="s">
        <v>90</v>
      </c>
      <c r="C213" s="3" t="s">
        <v>103</v>
      </c>
      <c r="D213" s="3" t="s">
        <v>21</v>
      </c>
      <c r="E213" s="3" t="s">
        <v>22</v>
      </c>
      <c r="F213" s="3">
        <v>24</v>
      </c>
      <c r="G213" s="3" t="s">
        <v>23</v>
      </c>
      <c r="H213" s="3" t="s">
        <v>545</v>
      </c>
      <c r="I213" s="3"/>
      <c r="J213" s="3" t="s">
        <v>17</v>
      </c>
      <c r="K213" s="3">
        <v>70520</v>
      </c>
    </row>
    <row r="214" spans="1:11">
      <c r="A214" s="3" t="s">
        <v>546</v>
      </c>
      <c r="B214" s="3" t="s">
        <v>223</v>
      </c>
      <c r="C214" s="3" t="s">
        <v>74</v>
      </c>
      <c r="D214" s="3" t="s">
        <v>21</v>
      </c>
      <c r="E214" s="3" t="s">
        <v>87</v>
      </c>
      <c r="F214" s="3">
        <v>25</v>
      </c>
      <c r="G214" s="3" t="s">
        <v>16</v>
      </c>
      <c r="H214" s="3" t="s">
        <v>464</v>
      </c>
      <c r="I214" s="3"/>
      <c r="J214" s="3" t="s">
        <v>17</v>
      </c>
      <c r="K214" s="3">
        <v>49922</v>
      </c>
    </row>
    <row r="215" spans="1:11">
      <c r="A215" s="3" t="s">
        <v>547</v>
      </c>
      <c r="B215" s="3" t="s">
        <v>125</v>
      </c>
      <c r="C215" s="3" t="s">
        <v>213</v>
      </c>
      <c r="D215" s="3" t="s">
        <v>64</v>
      </c>
      <c r="E215" s="3" t="s">
        <v>161</v>
      </c>
      <c r="F215" s="3">
        <v>32</v>
      </c>
      <c r="G215" s="3" t="s">
        <v>16</v>
      </c>
      <c r="H215" s="3" t="s">
        <v>548</v>
      </c>
      <c r="I215" s="3"/>
      <c r="J215" s="3" t="s">
        <v>17</v>
      </c>
      <c r="K215" s="3">
        <v>20878</v>
      </c>
    </row>
    <row r="216" spans="1:11">
      <c r="A216" s="3" t="s">
        <v>549</v>
      </c>
      <c r="B216" s="3" t="s">
        <v>25</v>
      </c>
      <c r="C216" s="3" t="s">
        <v>42</v>
      </c>
      <c r="D216" s="3" t="s">
        <v>27</v>
      </c>
      <c r="E216" s="3" t="s">
        <v>122</v>
      </c>
      <c r="F216" s="3">
        <v>30</v>
      </c>
      <c r="G216" s="3" t="s">
        <v>23</v>
      </c>
      <c r="H216" s="3" t="s">
        <v>550</v>
      </c>
      <c r="I216" s="3"/>
      <c r="J216" s="3" t="s">
        <v>17</v>
      </c>
      <c r="K216" s="3">
        <v>25548</v>
      </c>
    </row>
    <row r="217" spans="1:11">
      <c r="A217" s="3" t="s">
        <v>551</v>
      </c>
      <c r="B217" s="3" t="s">
        <v>160</v>
      </c>
      <c r="C217" s="3" t="s">
        <v>249</v>
      </c>
      <c r="D217" s="3" t="s">
        <v>43</v>
      </c>
      <c r="E217" s="3" t="s">
        <v>48</v>
      </c>
      <c r="F217" s="3">
        <v>30</v>
      </c>
      <c r="G217" s="3" t="s">
        <v>16</v>
      </c>
      <c r="H217" s="3" t="s">
        <v>552</v>
      </c>
      <c r="I217" s="3"/>
      <c r="J217" s="3" t="s">
        <v>17</v>
      </c>
      <c r="K217" s="3">
        <v>66993</v>
      </c>
    </row>
    <row r="218" spans="1:11">
      <c r="A218" s="3" t="s">
        <v>553</v>
      </c>
      <c r="B218" s="3" t="s">
        <v>90</v>
      </c>
      <c r="C218" s="3" t="s">
        <v>205</v>
      </c>
      <c r="D218" s="3" t="s">
        <v>64</v>
      </c>
      <c r="E218" s="3" t="s">
        <v>65</v>
      </c>
      <c r="F218" s="3">
        <v>34</v>
      </c>
      <c r="G218" s="3" t="s">
        <v>23</v>
      </c>
      <c r="H218" s="3" t="s">
        <v>554</v>
      </c>
      <c r="I218" s="3"/>
      <c r="J218" s="3" t="s">
        <v>17</v>
      </c>
      <c r="K218" s="3">
        <v>85385</v>
      </c>
    </row>
    <row r="219" spans="1:11">
      <c r="A219" s="3" t="s">
        <v>555</v>
      </c>
      <c r="B219" s="3" t="s">
        <v>252</v>
      </c>
      <c r="C219" s="3" t="s">
        <v>213</v>
      </c>
      <c r="D219" s="3" t="s">
        <v>27</v>
      </c>
      <c r="E219" s="3" t="s">
        <v>54</v>
      </c>
      <c r="F219" s="3">
        <v>21</v>
      </c>
      <c r="G219" s="3" t="s">
        <v>16</v>
      </c>
      <c r="H219" s="4">
        <v>44839</v>
      </c>
      <c r="I219" s="3" t="s">
        <v>556</v>
      </c>
      <c r="J219" s="3" t="s">
        <v>51</v>
      </c>
      <c r="K219" s="3">
        <v>80966</v>
      </c>
    </row>
    <row r="220" spans="1:11">
      <c r="A220" s="3" t="s">
        <v>557</v>
      </c>
      <c r="B220" s="3" t="s">
        <v>78</v>
      </c>
      <c r="C220" s="3" t="s">
        <v>63</v>
      </c>
      <c r="D220" s="3" t="s">
        <v>33</v>
      </c>
      <c r="E220" s="3" t="s">
        <v>34</v>
      </c>
      <c r="F220" s="3">
        <v>35</v>
      </c>
      <c r="G220" s="3" t="s">
        <v>23</v>
      </c>
      <c r="H220" s="3" t="s">
        <v>558</v>
      </c>
      <c r="I220" s="3"/>
      <c r="J220" s="3" t="s">
        <v>17</v>
      </c>
      <c r="K220" s="3">
        <v>95337</v>
      </c>
    </row>
    <row r="221" spans="1:11">
      <c r="A221" s="3" t="s">
        <v>559</v>
      </c>
      <c r="B221" s="3" t="s">
        <v>19</v>
      </c>
      <c r="C221" s="3" t="s">
        <v>129</v>
      </c>
      <c r="D221" s="3" t="s">
        <v>64</v>
      </c>
      <c r="E221" s="3" t="s">
        <v>266</v>
      </c>
      <c r="F221" s="3">
        <v>33</v>
      </c>
      <c r="G221" s="3" t="s">
        <v>23</v>
      </c>
      <c r="H221" s="3" t="s">
        <v>258</v>
      </c>
      <c r="I221" s="3"/>
      <c r="J221" s="3" t="s">
        <v>17</v>
      </c>
      <c r="K221" s="3">
        <v>44197</v>
      </c>
    </row>
    <row r="222" spans="1:11">
      <c r="A222" s="3" t="s">
        <v>560</v>
      </c>
      <c r="B222" s="3" t="s">
        <v>141</v>
      </c>
      <c r="C222" s="3" t="s">
        <v>129</v>
      </c>
      <c r="D222" s="3" t="s">
        <v>21</v>
      </c>
      <c r="E222" s="3" t="s">
        <v>155</v>
      </c>
      <c r="F222" s="3">
        <v>24</v>
      </c>
      <c r="G222" s="3" t="s">
        <v>16</v>
      </c>
      <c r="H222" s="3" t="s">
        <v>561</v>
      </c>
      <c r="I222" s="3"/>
      <c r="J222" s="3" t="s">
        <v>17</v>
      </c>
      <c r="K222" s="3">
        <v>74623</v>
      </c>
    </row>
    <row r="223" spans="1:11">
      <c r="A223" s="3" t="s">
        <v>562</v>
      </c>
      <c r="B223" s="3" t="s">
        <v>121</v>
      </c>
      <c r="C223" s="3" t="s">
        <v>113</v>
      </c>
      <c r="D223" s="3" t="s">
        <v>43</v>
      </c>
      <c r="E223" s="3" t="s">
        <v>70</v>
      </c>
      <c r="F223" s="3">
        <v>26</v>
      </c>
      <c r="G223" s="3" t="s">
        <v>23</v>
      </c>
      <c r="H223" s="3" t="s">
        <v>563</v>
      </c>
      <c r="I223" s="3"/>
      <c r="J223" s="3" t="s">
        <v>17</v>
      </c>
      <c r="K223" s="3">
        <v>61352</v>
      </c>
    </row>
    <row r="224" spans="1:11">
      <c r="A224" s="3" t="s">
        <v>564</v>
      </c>
      <c r="B224" s="3" t="s">
        <v>160</v>
      </c>
      <c r="C224" s="3" t="s">
        <v>32</v>
      </c>
      <c r="D224" s="3" t="s">
        <v>33</v>
      </c>
      <c r="E224" s="3" t="s">
        <v>34</v>
      </c>
      <c r="F224" s="3">
        <v>36</v>
      </c>
      <c r="G224" s="3" t="s">
        <v>16</v>
      </c>
      <c r="H224" s="3" t="s">
        <v>565</v>
      </c>
      <c r="I224" s="3"/>
      <c r="J224" s="3" t="s">
        <v>17</v>
      </c>
      <c r="K224" s="3">
        <v>42528</v>
      </c>
    </row>
    <row r="225" spans="1:11">
      <c r="A225" s="3" t="s">
        <v>566</v>
      </c>
      <c r="B225" s="3" t="s">
        <v>31</v>
      </c>
      <c r="C225" s="3" t="s">
        <v>174</v>
      </c>
      <c r="D225" s="3" t="s">
        <v>21</v>
      </c>
      <c r="E225" s="3" t="s">
        <v>22</v>
      </c>
      <c r="F225" s="3">
        <v>25</v>
      </c>
      <c r="G225" s="3" t="s">
        <v>23</v>
      </c>
      <c r="H225" s="3" t="s">
        <v>567</v>
      </c>
      <c r="I225" s="3"/>
      <c r="J225" s="3" t="s">
        <v>17</v>
      </c>
      <c r="K225" s="3">
        <v>33377</v>
      </c>
    </row>
    <row r="226" spans="1:11">
      <c r="A226" s="3" t="s">
        <v>568</v>
      </c>
      <c r="B226" s="3" t="s">
        <v>223</v>
      </c>
      <c r="C226" s="3" t="s">
        <v>69</v>
      </c>
      <c r="D226" s="3" t="s">
        <v>33</v>
      </c>
      <c r="E226" s="3" t="s">
        <v>79</v>
      </c>
      <c r="F226" s="3">
        <v>33</v>
      </c>
      <c r="G226" s="3" t="s">
        <v>16</v>
      </c>
      <c r="H226" s="3" t="s">
        <v>569</v>
      </c>
      <c r="I226" s="3"/>
      <c r="J226" s="3" t="s">
        <v>17</v>
      </c>
      <c r="K226" s="3">
        <v>65299</v>
      </c>
    </row>
    <row r="227" spans="1:11">
      <c r="A227" s="3" t="s">
        <v>570</v>
      </c>
      <c r="B227" s="3" t="s">
        <v>112</v>
      </c>
      <c r="C227" s="3" t="s">
        <v>32</v>
      </c>
      <c r="D227" s="3" t="s">
        <v>21</v>
      </c>
      <c r="E227" s="3" t="s">
        <v>87</v>
      </c>
      <c r="F227" s="3">
        <v>27</v>
      </c>
      <c r="G227" s="3" t="s">
        <v>23</v>
      </c>
      <c r="H227" s="3" t="s">
        <v>571</v>
      </c>
      <c r="I227" s="3"/>
      <c r="J227" s="3" t="s">
        <v>17</v>
      </c>
      <c r="K227" s="3">
        <v>59212</v>
      </c>
    </row>
    <row r="228" spans="1:11">
      <c r="A228" s="3" t="s">
        <v>572</v>
      </c>
      <c r="B228" s="3" t="s">
        <v>73</v>
      </c>
      <c r="C228" s="3" t="s">
        <v>169</v>
      </c>
      <c r="D228" s="3" t="s">
        <v>64</v>
      </c>
      <c r="E228" s="3" t="s">
        <v>266</v>
      </c>
      <c r="F228" s="3">
        <v>41</v>
      </c>
      <c r="G228" s="3" t="s">
        <v>16</v>
      </c>
      <c r="H228" s="3" t="s">
        <v>573</v>
      </c>
      <c r="I228" s="3"/>
      <c r="J228" s="3" t="s">
        <v>17</v>
      </c>
      <c r="K228" s="3">
        <v>70428</v>
      </c>
    </row>
    <row r="229" spans="1:11">
      <c r="A229" s="3" t="s">
        <v>574</v>
      </c>
      <c r="B229" s="3" t="s">
        <v>82</v>
      </c>
      <c r="C229" s="3" t="s">
        <v>69</v>
      </c>
      <c r="D229" s="3" t="s">
        <v>27</v>
      </c>
      <c r="E229" s="3" t="s">
        <v>54</v>
      </c>
      <c r="F229" s="3">
        <v>33</v>
      </c>
      <c r="G229" s="3" t="s">
        <v>23</v>
      </c>
      <c r="H229" s="3" t="s">
        <v>575</v>
      </c>
      <c r="I229" s="3"/>
      <c r="J229" s="3" t="s">
        <v>17</v>
      </c>
      <c r="K229" s="3">
        <v>18000</v>
      </c>
    </row>
    <row r="230" spans="1:11">
      <c r="A230" s="3" t="s">
        <v>576</v>
      </c>
      <c r="B230" s="3" t="s">
        <v>98</v>
      </c>
      <c r="C230" s="3" t="s">
        <v>53</v>
      </c>
      <c r="D230" s="3" t="s">
        <v>33</v>
      </c>
      <c r="E230" s="3" t="s">
        <v>34</v>
      </c>
      <c r="F230" s="3">
        <v>21</v>
      </c>
      <c r="G230" s="3" t="s">
        <v>23</v>
      </c>
      <c r="H230" s="3" t="s">
        <v>577</v>
      </c>
      <c r="I230" s="3"/>
      <c r="J230" s="3" t="s">
        <v>17</v>
      </c>
      <c r="K230" s="3">
        <v>34051</v>
      </c>
    </row>
    <row r="231" spans="1:11">
      <c r="A231" s="3" t="s">
        <v>578</v>
      </c>
      <c r="B231" s="3" t="s">
        <v>78</v>
      </c>
      <c r="C231" s="3" t="s">
        <v>20</v>
      </c>
      <c r="D231" s="3" t="s">
        <v>43</v>
      </c>
      <c r="E231" s="3" t="s">
        <v>48</v>
      </c>
      <c r="F231" s="3">
        <v>39</v>
      </c>
      <c r="G231" s="3" t="s">
        <v>16</v>
      </c>
      <c r="H231" s="3" t="s">
        <v>579</v>
      </c>
      <c r="I231" s="3"/>
      <c r="J231" s="3" t="s">
        <v>17</v>
      </c>
      <c r="K231" s="3">
        <v>44523</v>
      </c>
    </row>
    <row r="232" spans="1:11">
      <c r="A232" s="3" t="s">
        <v>580</v>
      </c>
      <c r="B232" s="3" t="s">
        <v>86</v>
      </c>
      <c r="C232" s="3" t="s">
        <v>129</v>
      </c>
      <c r="D232" s="3" t="s">
        <v>21</v>
      </c>
      <c r="E232" s="3" t="s">
        <v>155</v>
      </c>
      <c r="F232" s="3">
        <v>27</v>
      </c>
      <c r="G232" s="3" t="s">
        <v>16</v>
      </c>
      <c r="H232" s="3" t="s">
        <v>581</v>
      </c>
      <c r="I232" s="3"/>
      <c r="J232" s="3" t="s">
        <v>17</v>
      </c>
      <c r="K232" s="3">
        <v>106189</v>
      </c>
    </row>
    <row r="233" spans="1:11">
      <c r="A233" s="3" t="s">
        <v>582</v>
      </c>
      <c r="B233" s="3" t="s">
        <v>112</v>
      </c>
      <c r="C233" s="3" t="s">
        <v>38</v>
      </c>
      <c r="D233" s="3" t="s">
        <v>27</v>
      </c>
      <c r="E233" s="3" t="s">
        <v>122</v>
      </c>
      <c r="F233" s="3">
        <v>33</v>
      </c>
      <c r="G233" s="3" t="s">
        <v>16</v>
      </c>
      <c r="H233" s="3" t="s">
        <v>583</v>
      </c>
      <c r="I233" s="3"/>
      <c r="J233" s="3" t="s">
        <v>17</v>
      </c>
      <c r="K233" s="3">
        <v>40727</v>
      </c>
    </row>
    <row r="234" spans="1:11">
      <c r="A234" s="3" t="s">
        <v>584</v>
      </c>
      <c r="B234" s="3" t="s">
        <v>298</v>
      </c>
      <c r="C234" s="3" t="s">
        <v>146</v>
      </c>
      <c r="D234" s="3" t="s">
        <v>43</v>
      </c>
      <c r="E234" s="3" t="s">
        <v>48</v>
      </c>
      <c r="F234" s="3">
        <v>24</v>
      </c>
      <c r="G234" s="3" t="s">
        <v>16</v>
      </c>
      <c r="H234" s="3" t="s">
        <v>29</v>
      </c>
      <c r="I234" s="3"/>
      <c r="J234" s="3" t="s">
        <v>17</v>
      </c>
      <c r="K234" s="3">
        <v>55413</v>
      </c>
    </row>
    <row r="235" spans="1:11">
      <c r="A235" s="3" t="s">
        <v>585</v>
      </c>
      <c r="B235" s="3" t="s">
        <v>73</v>
      </c>
      <c r="C235" s="3" t="s">
        <v>20</v>
      </c>
      <c r="D235" s="3" t="s">
        <v>21</v>
      </c>
      <c r="E235" s="3" t="s">
        <v>95</v>
      </c>
      <c r="F235" s="3">
        <v>21</v>
      </c>
      <c r="G235" s="3" t="s">
        <v>23</v>
      </c>
      <c r="H235" s="3" t="s">
        <v>586</v>
      </c>
      <c r="I235" s="3"/>
      <c r="J235" s="3" t="s">
        <v>17</v>
      </c>
      <c r="K235" s="3">
        <v>21628</v>
      </c>
    </row>
    <row r="236" spans="1:11">
      <c r="A236" s="3" t="s">
        <v>587</v>
      </c>
      <c r="B236" s="3" t="s">
        <v>109</v>
      </c>
      <c r="C236" s="3" t="s">
        <v>74</v>
      </c>
      <c r="D236" s="3" t="s">
        <v>64</v>
      </c>
      <c r="E236" s="3" t="s">
        <v>65</v>
      </c>
      <c r="F236" s="3">
        <v>24</v>
      </c>
      <c r="G236" s="3" t="s">
        <v>16</v>
      </c>
      <c r="H236" s="3" t="s">
        <v>588</v>
      </c>
      <c r="I236" s="3"/>
      <c r="J236" s="3" t="s">
        <v>17</v>
      </c>
      <c r="K236" s="3">
        <v>41312</v>
      </c>
    </row>
    <row r="237" spans="1:11">
      <c r="A237" s="3" t="s">
        <v>589</v>
      </c>
      <c r="B237" s="3" t="s">
        <v>93</v>
      </c>
      <c r="C237" s="3" t="s">
        <v>135</v>
      </c>
      <c r="D237" s="3" t="s">
        <v>43</v>
      </c>
      <c r="E237" s="3" t="s">
        <v>48</v>
      </c>
      <c r="F237" s="3">
        <v>34</v>
      </c>
      <c r="G237" s="3" t="s">
        <v>16</v>
      </c>
      <c r="H237" s="3" t="s">
        <v>590</v>
      </c>
      <c r="I237" s="3"/>
      <c r="J237" s="3" t="s">
        <v>17</v>
      </c>
      <c r="K237" s="3">
        <v>80747</v>
      </c>
    </row>
    <row r="238" spans="1:11">
      <c r="A238" s="3" t="s">
        <v>591</v>
      </c>
      <c r="B238" s="3" t="s">
        <v>41</v>
      </c>
      <c r="C238" s="3" t="s">
        <v>38</v>
      </c>
      <c r="D238" s="3" t="s">
        <v>27</v>
      </c>
      <c r="E238" s="3" t="s">
        <v>28</v>
      </c>
      <c r="F238" s="3">
        <v>28</v>
      </c>
      <c r="G238" s="3" t="s">
        <v>16</v>
      </c>
      <c r="H238" s="3" t="s">
        <v>592</v>
      </c>
      <c r="I238" s="3"/>
      <c r="J238" s="3" t="s">
        <v>17</v>
      </c>
      <c r="K238" s="3">
        <v>55426</v>
      </c>
    </row>
    <row r="239" spans="1:11">
      <c r="A239" s="3" t="s">
        <v>593</v>
      </c>
      <c r="B239" s="3" t="s">
        <v>106</v>
      </c>
      <c r="C239" s="3" t="s">
        <v>213</v>
      </c>
      <c r="D239" s="3" t="s">
        <v>594</v>
      </c>
      <c r="E239" s="3" t="s">
        <v>65</v>
      </c>
      <c r="F239" s="3">
        <v>29</v>
      </c>
      <c r="G239" s="3" t="s">
        <v>23</v>
      </c>
      <c r="H239" s="3" t="s">
        <v>469</v>
      </c>
      <c r="I239" s="3"/>
      <c r="J239" s="3" t="s">
        <v>17</v>
      </c>
      <c r="K239" s="3">
        <v>101240</v>
      </c>
    </row>
    <row r="240" spans="1:11">
      <c r="A240" s="3" t="s">
        <v>595</v>
      </c>
      <c r="B240" s="3" t="s">
        <v>141</v>
      </c>
      <c r="C240" s="3" t="s">
        <v>26</v>
      </c>
      <c r="D240" s="3" t="s">
        <v>43</v>
      </c>
      <c r="E240" s="3" t="s">
        <v>48</v>
      </c>
      <c r="F240" s="3">
        <v>33</v>
      </c>
      <c r="G240" s="3" t="s">
        <v>16</v>
      </c>
      <c r="H240" s="3" t="s">
        <v>596</v>
      </c>
      <c r="I240" s="3"/>
      <c r="J240" s="3" t="s">
        <v>17</v>
      </c>
      <c r="K240" s="3">
        <v>93706</v>
      </c>
    </row>
    <row r="241" spans="1:11">
      <c r="A241" s="3" t="s">
        <v>597</v>
      </c>
      <c r="B241" s="3" t="s">
        <v>223</v>
      </c>
      <c r="C241" s="3" t="s">
        <v>164</v>
      </c>
      <c r="D241" s="3" t="s">
        <v>43</v>
      </c>
      <c r="E241" s="3" t="s">
        <v>44</v>
      </c>
      <c r="F241" s="3">
        <v>47</v>
      </c>
      <c r="G241" s="3" t="s">
        <v>23</v>
      </c>
      <c r="H241" s="3" t="s">
        <v>598</v>
      </c>
      <c r="I241" s="3"/>
      <c r="J241" s="3" t="s">
        <v>17</v>
      </c>
      <c r="K241" s="3">
        <v>76500</v>
      </c>
    </row>
    <row r="242" spans="1:11">
      <c r="A242" s="3" t="s">
        <v>599</v>
      </c>
      <c r="B242" s="3" t="s">
        <v>238</v>
      </c>
      <c r="C242" s="3" t="s">
        <v>59</v>
      </c>
      <c r="D242" s="3" t="s">
        <v>33</v>
      </c>
      <c r="E242" s="3" t="s">
        <v>79</v>
      </c>
      <c r="F242" s="3">
        <v>40</v>
      </c>
      <c r="G242" s="3" t="s">
        <v>16</v>
      </c>
      <c r="H242" s="3" t="s">
        <v>600</v>
      </c>
      <c r="I242" s="3"/>
      <c r="J242" s="3" t="s">
        <v>17</v>
      </c>
      <c r="K242" s="3">
        <v>56208</v>
      </c>
    </row>
    <row r="243" spans="1:11">
      <c r="A243" s="3" t="s">
        <v>601</v>
      </c>
      <c r="B243" s="3" t="s">
        <v>252</v>
      </c>
      <c r="C243" s="3" t="s">
        <v>32</v>
      </c>
      <c r="D243" s="3" t="s">
        <v>21</v>
      </c>
      <c r="E243" s="3" t="s">
        <v>22</v>
      </c>
      <c r="F243" s="3">
        <v>28</v>
      </c>
      <c r="G243" s="3" t="s">
        <v>23</v>
      </c>
      <c r="H243" s="3" t="s">
        <v>602</v>
      </c>
      <c r="I243" s="3"/>
      <c r="J243" s="3" t="s">
        <v>17</v>
      </c>
      <c r="K243" s="3">
        <v>67082</v>
      </c>
    </row>
    <row r="244" spans="1:11">
      <c r="A244" s="3" t="s">
        <v>603</v>
      </c>
      <c r="B244" s="3" t="s">
        <v>37</v>
      </c>
      <c r="C244" s="3" t="s">
        <v>146</v>
      </c>
      <c r="D244" s="3" t="s">
        <v>27</v>
      </c>
      <c r="E244" s="3" t="s">
        <v>54</v>
      </c>
      <c r="F244" s="3">
        <v>40</v>
      </c>
      <c r="G244" s="3" t="s">
        <v>23</v>
      </c>
      <c r="H244" s="3" t="s">
        <v>512</v>
      </c>
      <c r="I244" s="3"/>
      <c r="J244" s="3" t="s">
        <v>17</v>
      </c>
      <c r="K244" s="3">
        <v>64982</v>
      </c>
    </row>
    <row r="245" spans="1:11">
      <c r="A245" s="3" t="s">
        <v>604</v>
      </c>
      <c r="B245" s="3" t="s">
        <v>25</v>
      </c>
      <c r="C245" s="3" t="s">
        <v>20</v>
      </c>
      <c r="D245" s="3" t="s">
        <v>43</v>
      </c>
      <c r="E245" s="3" t="s">
        <v>44</v>
      </c>
      <c r="F245" s="3">
        <v>30</v>
      </c>
      <c r="G245" s="3" t="s">
        <v>16</v>
      </c>
      <c r="H245" s="3" t="s">
        <v>605</v>
      </c>
      <c r="I245" s="3"/>
      <c r="J245" s="3" t="s">
        <v>17</v>
      </c>
      <c r="K245" s="3">
        <v>92051</v>
      </c>
    </row>
    <row r="246" spans="1:11">
      <c r="A246" s="3" t="s">
        <v>606</v>
      </c>
      <c r="B246" s="3" t="s">
        <v>106</v>
      </c>
      <c r="C246" s="3" t="s">
        <v>74</v>
      </c>
      <c r="D246" s="3" t="s">
        <v>43</v>
      </c>
      <c r="E246" s="3" t="s">
        <v>44</v>
      </c>
      <c r="F246" s="3">
        <v>21</v>
      </c>
      <c r="G246" s="3" t="s">
        <v>16</v>
      </c>
      <c r="H246" s="3" t="s">
        <v>607</v>
      </c>
      <c r="I246" s="3"/>
      <c r="J246" s="3" t="s">
        <v>17</v>
      </c>
      <c r="K246" s="3">
        <v>53778</v>
      </c>
    </row>
    <row r="247" spans="1:11">
      <c r="A247" s="3" t="s">
        <v>608</v>
      </c>
      <c r="B247" s="3" t="s">
        <v>223</v>
      </c>
      <c r="C247" s="3" t="s">
        <v>26</v>
      </c>
      <c r="D247" s="3" t="s">
        <v>21</v>
      </c>
      <c r="E247" s="3" t="s">
        <v>87</v>
      </c>
      <c r="F247" s="3">
        <v>40</v>
      </c>
      <c r="G247" s="3" t="s">
        <v>16</v>
      </c>
      <c r="H247" s="3" t="s">
        <v>609</v>
      </c>
      <c r="I247" s="3" t="s">
        <v>610</v>
      </c>
      <c r="J247" s="3" t="s">
        <v>51</v>
      </c>
      <c r="K247" s="3">
        <v>67135</v>
      </c>
    </row>
    <row r="248" spans="1:11">
      <c r="A248" s="3" t="s">
        <v>611</v>
      </c>
      <c r="B248" s="3" t="s">
        <v>12</v>
      </c>
      <c r="C248" s="3" t="s">
        <v>53</v>
      </c>
      <c r="D248" s="3" t="s">
        <v>43</v>
      </c>
      <c r="E248" s="3" t="s">
        <v>70</v>
      </c>
      <c r="F248" s="3">
        <v>26</v>
      </c>
      <c r="G248" s="3" t="s">
        <v>16</v>
      </c>
      <c r="H248" s="3" t="s">
        <v>612</v>
      </c>
      <c r="I248" s="3"/>
      <c r="J248" s="3" t="s">
        <v>17</v>
      </c>
      <c r="K248" s="3">
        <v>72239</v>
      </c>
    </row>
    <row r="249" spans="1:11">
      <c r="A249" s="3" t="s">
        <v>613</v>
      </c>
      <c r="B249" s="3" t="s">
        <v>298</v>
      </c>
      <c r="C249" s="3" t="s">
        <v>13</v>
      </c>
      <c r="D249" s="3" t="s">
        <v>43</v>
      </c>
      <c r="E249" s="3" t="s">
        <v>70</v>
      </c>
      <c r="F249" s="3">
        <v>23</v>
      </c>
      <c r="G249" s="3" t="s">
        <v>23</v>
      </c>
      <c r="H249" s="3" t="s">
        <v>614</v>
      </c>
      <c r="I249" s="3"/>
      <c r="J249" s="3" t="s">
        <v>17</v>
      </c>
      <c r="K249" s="3">
        <v>31457</v>
      </c>
    </row>
    <row r="250" spans="1:11">
      <c r="A250" s="3" t="s">
        <v>615</v>
      </c>
      <c r="B250" s="3" t="s">
        <v>19</v>
      </c>
      <c r="C250" s="3" t="s">
        <v>169</v>
      </c>
      <c r="D250" s="3" t="s">
        <v>27</v>
      </c>
      <c r="E250" s="3" t="s">
        <v>122</v>
      </c>
      <c r="F250" s="3">
        <v>26</v>
      </c>
      <c r="G250" s="3" t="s">
        <v>23</v>
      </c>
      <c r="H250" s="3" t="s">
        <v>616</v>
      </c>
      <c r="I250" s="3"/>
      <c r="J250" s="3" t="s">
        <v>17</v>
      </c>
      <c r="K250" s="3">
        <v>35242</v>
      </c>
    </row>
    <row r="251" spans="1:11">
      <c r="A251" s="3" t="s">
        <v>617</v>
      </c>
      <c r="B251" s="3" t="s">
        <v>41</v>
      </c>
      <c r="C251" s="3" t="s">
        <v>42</v>
      </c>
      <c r="D251" s="3" t="s">
        <v>27</v>
      </c>
      <c r="E251" s="3" t="s">
        <v>28</v>
      </c>
      <c r="F251" s="3">
        <v>30</v>
      </c>
      <c r="G251" s="3" t="s">
        <v>16</v>
      </c>
      <c r="H251" s="3" t="s">
        <v>618</v>
      </c>
      <c r="I251" s="3"/>
      <c r="J251" s="3" t="s">
        <v>17</v>
      </c>
      <c r="K251" s="3">
        <v>39564</v>
      </c>
    </row>
    <row r="252" spans="1:11">
      <c r="A252" s="3" t="s">
        <v>619</v>
      </c>
      <c r="B252" s="3" t="s">
        <v>238</v>
      </c>
      <c r="C252" s="3" t="s">
        <v>146</v>
      </c>
      <c r="D252" s="3" t="s">
        <v>43</v>
      </c>
      <c r="E252" s="3" t="s">
        <v>70</v>
      </c>
      <c r="F252" s="3">
        <v>37</v>
      </c>
      <c r="G252" s="3" t="s">
        <v>23</v>
      </c>
      <c r="H252" s="3" t="s">
        <v>620</v>
      </c>
      <c r="I252" s="3"/>
      <c r="J252" s="3" t="s">
        <v>17</v>
      </c>
      <c r="K252" s="3">
        <v>52101</v>
      </c>
    </row>
    <row r="253" spans="1:11">
      <c r="A253" s="3" t="s">
        <v>621</v>
      </c>
      <c r="B253" s="3" t="s">
        <v>141</v>
      </c>
      <c r="C253" s="3" t="s">
        <v>177</v>
      </c>
      <c r="D253" s="3" t="s">
        <v>21</v>
      </c>
      <c r="E253" s="3" t="s">
        <v>155</v>
      </c>
      <c r="F253" s="3">
        <v>33</v>
      </c>
      <c r="G253" s="3" t="s">
        <v>16</v>
      </c>
      <c r="H253" s="3" t="s">
        <v>622</v>
      </c>
      <c r="I253" s="3"/>
      <c r="J253" s="3" t="s">
        <v>17</v>
      </c>
      <c r="K253" s="3">
        <v>78237</v>
      </c>
    </row>
    <row r="254" spans="1:11">
      <c r="A254" s="3" t="s">
        <v>623</v>
      </c>
      <c r="B254" s="3" t="s">
        <v>93</v>
      </c>
      <c r="C254" s="3" t="s">
        <v>26</v>
      </c>
      <c r="D254" s="3" t="s">
        <v>99</v>
      </c>
      <c r="E254" s="3" t="s">
        <v>79</v>
      </c>
      <c r="F254" s="3">
        <v>34</v>
      </c>
      <c r="G254" s="3" t="s">
        <v>16</v>
      </c>
      <c r="H254" s="3" t="s">
        <v>624</v>
      </c>
      <c r="I254" s="3"/>
      <c r="J254" s="3" t="s">
        <v>17</v>
      </c>
      <c r="K254" s="3">
        <v>24869</v>
      </c>
    </row>
    <row r="255" spans="1:11">
      <c r="A255" s="3" t="s">
        <v>625</v>
      </c>
      <c r="B255" s="3" t="s">
        <v>252</v>
      </c>
      <c r="C255" s="3" t="s">
        <v>38</v>
      </c>
      <c r="D255" s="3" t="s">
        <v>27</v>
      </c>
      <c r="E255" s="3" t="s">
        <v>122</v>
      </c>
      <c r="F255" s="3">
        <v>21</v>
      </c>
      <c r="G255" s="3" t="s">
        <v>23</v>
      </c>
      <c r="H255" s="4">
        <v>43654</v>
      </c>
      <c r="I255" s="3"/>
      <c r="J255" s="3" t="s">
        <v>17</v>
      </c>
      <c r="K255" s="3">
        <v>48354</v>
      </c>
    </row>
    <row r="256" spans="1:11">
      <c r="A256" s="3" t="s">
        <v>626</v>
      </c>
      <c r="B256" s="3" t="s">
        <v>73</v>
      </c>
      <c r="C256" s="3" t="s">
        <v>59</v>
      </c>
      <c r="D256" s="3" t="s">
        <v>21</v>
      </c>
      <c r="E256" s="3" t="s">
        <v>95</v>
      </c>
      <c r="F256" s="3">
        <v>21</v>
      </c>
      <c r="G256" s="3" t="s">
        <v>16</v>
      </c>
      <c r="H256" s="3" t="s">
        <v>627</v>
      </c>
      <c r="I256" s="3"/>
      <c r="J256" s="3" t="s">
        <v>17</v>
      </c>
      <c r="K256" s="3">
        <v>40689</v>
      </c>
    </row>
    <row r="257" spans="1:11">
      <c r="A257" s="3" t="s">
        <v>628</v>
      </c>
      <c r="B257" s="3" t="s">
        <v>98</v>
      </c>
      <c r="C257" s="3" t="s">
        <v>135</v>
      </c>
      <c r="D257" s="3" t="s">
        <v>43</v>
      </c>
      <c r="E257" s="3" t="s">
        <v>44</v>
      </c>
      <c r="F257" s="3">
        <v>32</v>
      </c>
      <c r="G257" s="3" t="s">
        <v>23</v>
      </c>
      <c r="H257" s="3" t="s">
        <v>629</v>
      </c>
      <c r="I257" s="3" t="s">
        <v>630</v>
      </c>
      <c r="J257" s="3" t="s">
        <v>51</v>
      </c>
      <c r="K257" s="3">
        <v>28582</v>
      </c>
    </row>
    <row r="258" spans="1:11">
      <c r="A258" s="3" t="s">
        <v>631</v>
      </c>
      <c r="B258" s="3" t="s">
        <v>102</v>
      </c>
      <c r="C258" s="3" t="s">
        <v>113</v>
      </c>
      <c r="D258" s="3" t="s">
        <v>43</v>
      </c>
      <c r="E258" s="3" t="s">
        <v>48</v>
      </c>
      <c r="F258" s="3">
        <v>40</v>
      </c>
      <c r="G258" s="3" t="s">
        <v>23</v>
      </c>
      <c r="H258" s="3" t="s">
        <v>632</v>
      </c>
      <c r="I258" s="3" t="s">
        <v>633</v>
      </c>
      <c r="J258" s="3" t="s">
        <v>51</v>
      </c>
      <c r="K258" s="3">
        <v>34700</v>
      </c>
    </row>
    <row r="259" spans="1:11">
      <c r="A259" s="3" t="s">
        <v>634</v>
      </c>
      <c r="B259" s="3" t="s">
        <v>68</v>
      </c>
      <c r="C259" s="3" t="s">
        <v>53</v>
      </c>
      <c r="D259" s="3" t="s">
        <v>64</v>
      </c>
      <c r="E259" s="3" t="s">
        <v>65</v>
      </c>
      <c r="F259" s="3">
        <v>45</v>
      </c>
      <c r="G259" s="3" t="s">
        <v>16</v>
      </c>
      <c r="H259" s="3" t="s">
        <v>635</v>
      </c>
      <c r="I259" s="3"/>
      <c r="J259" s="3" t="s">
        <v>17</v>
      </c>
      <c r="K259" s="3">
        <v>40585</v>
      </c>
    </row>
    <row r="260" spans="1:11">
      <c r="A260" s="3" t="s">
        <v>636</v>
      </c>
      <c r="B260" s="3" t="s">
        <v>106</v>
      </c>
      <c r="C260" s="3" t="s">
        <v>42</v>
      </c>
      <c r="D260" s="3" t="s">
        <v>64</v>
      </c>
      <c r="E260" s="3" t="s">
        <v>65</v>
      </c>
      <c r="F260" s="3">
        <v>38</v>
      </c>
      <c r="G260" s="3" t="s">
        <v>16</v>
      </c>
      <c r="H260" s="3" t="s">
        <v>637</v>
      </c>
      <c r="I260" s="3"/>
      <c r="J260" s="3" t="s">
        <v>17</v>
      </c>
      <c r="K260" s="3">
        <v>96615</v>
      </c>
    </row>
    <row r="261" spans="1:11">
      <c r="A261" s="3" t="s">
        <v>638</v>
      </c>
      <c r="B261" s="3" t="s">
        <v>73</v>
      </c>
      <c r="C261" s="3" t="s">
        <v>63</v>
      </c>
      <c r="D261" s="3" t="s">
        <v>21</v>
      </c>
      <c r="E261" s="3" t="s">
        <v>155</v>
      </c>
      <c r="F261" s="3">
        <v>30</v>
      </c>
      <c r="G261" s="3" t="s">
        <v>23</v>
      </c>
      <c r="H261" s="3" t="s">
        <v>639</v>
      </c>
      <c r="I261" s="3"/>
      <c r="J261" s="3" t="s">
        <v>17</v>
      </c>
      <c r="K261" s="3">
        <v>93971</v>
      </c>
    </row>
    <row r="262" spans="1:11">
      <c r="A262" s="3" t="s">
        <v>640</v>
      </c>
      <c r="B262" s="3" t="s">
        <v>25</v>
      </c>
      <c r="C262" s="3" t="s">
        <v>20</v>
      </c>
      <c r="D262" s="3" t="s">
        <v>118</v>
      </c>
      <c r="E262" s="3" t="s">
        <v>44</v>
      </c>
      <c r="F262" s="3">
        <v>32</v>
      </c>
      <c r="G262" s="3" t="s">
        <v>16</v>
      </c>
      <c r="H262" s="3" t="s">
        <v>641</v>
      </c>
      <c r="I262" s="3"/>
      <c r="J262" s="3" t="s">
        <v>17</v>
      </c>
      <c r="K262" s="3">
        <v>85629</v>
      </c>
    </row>
    <row r="263" spans="1:11">
      <c r="A263" s="3" t="s">
        <v>642</v>
      </c>
      <c r="B263" s="3" t="s">
        <v>98</v>
      </c>
      <c r="C263" s="3" t="s">
        <v>174</v>
      </c>
      <c r="D263" s="3" t="s">
        <v>27</v>
      </c>
      <c r="E263" s="3" t="s">
        <v>28</v>
      </c>
      <c r="F263" s="3">
        <v>35</v>
      </c>
      <c r="G263" s="3" t="s">
        <v>16</v>
      </c>
      <c r="H263" s="3" t="s">
        <v>643</v>
      </c>
      <c r="I263" s="3"/>
      <c r="J263" s="3" t="s">
        <v>17</v>
      </c>
      <c r="K263" s="3">
        <v>35081</v>
      </c>
    </row>
    <row r="264" spans="1:11">
      <c r="A264" s="3" t="s">
        <v>644</v>
      </c>
      <c r="B264" s="3" t="s">
        <v>288</v>
      </c>
      <c r="C264" s="3" t="s">
        <v>13</v>
      </c>
      <c r="D264" s="3" t="s">
        <v>43</v>
      </c>
      <c r="E264" s="3" t="s">
        <v>70</v>
      </c>
      <c r="F264" s="3">
        <v>35</v>
      </c>
      <c r="G264" s="3" t="s">
        <v>23</v>
      </c>
      <c r="H264" s="3" t="s">
        <v>342</v>
      </c>
      <c r="I264" s="3"/>
      <c r="J264" s="3" t="s">
        <v>17</v>
      </c>
      <c r="K264" s="3">
        <v>48124</v>
      </c>
    </row>
    <row r="265" spans="1:11">
      <c r="A265" s="3" t="s">
        <v>645</v>
      </c>
      <c r="B265" s="3" t="s">
        <v>93</v>
      </c>
      <c r="C265" s="3" t="s">
        <v>26</v>
      </c>
      <c r="D265" s="3" t="s">
        <v>21</v>
      </c>
      <c r="E265" s="3" t="s">
        <v>87</v>
      </c>
      <c r="F265" s="3">
        <v>34</v>
      </c>
      <c r="G265" s="3" t="s">
        <v>23</v>
      </c>
      <c r="H265" s="3" t="s">
        <v>646</v>
      </c>
      <c r="I265" s="3"/>
      <c r="J265" s="3" t="s">
        <v>17</v>
      </c>
      <c r="K265" s="3">
        <v>63230</v>
      </c>
    </row>
    <row r="266" spans="1:11">
      <c r="A266" s="3" t="s">
        <v>647</v>
      </c>
      <c r="B266" s="3" t="s">
        <v>125</v>
      </c>
      <c r="C266" s="3" t="s">
        <v>69</v>
      </c>
      <c r="D266" s="3" t="s">
        <v>648</v>
      </c>
      <c r="E266" s="3" t="s">
        <v>266</v>
      </c>
      <c r="F266" s="3">
        <v>31</v>
      </c>
      <c r="G266" s="3" t="s">
        <v>16</v>
      </c>
      <c r="H266" s="3" t="s">
        <v>649</v>
      </c>
      <c r="I266" s="3"/>
      <c r="J266" s="3" t="s">
        <v>17</v>
      </c>
      <c r="K266" s="3">
        <v>55081</v>
      </c>
    </row>
    <row r="267" spans="1:11">
      <c r="A267" s="3" t="s">
        <v>650</v>
      </c>
      <c r="B267" s="3" t="s">
        <v>58</v>
      </c>
      <c r="C267" s="3" t="s">
        <v>74</v>
      </c>
      <c r="D267" s="3" t="s">
        <v>21</v>
      </c>
      <c r="E267" s="3" t="s">
        <v>87</v>
      </c>
      <c r="F267" s="3">
        <v>33</v>
      </c>
      <c r="G267" s="3" t="s">
        <v>16</v>
      </c>
      <c r="H267" s="3" t="s">
        <v>651</v>
      </c>
      <c r="I267" s="3"/>
      <c r="J267" s="3" t="s">
        <v>17</v>
      </c>
      <c r="K267" s="3">
        <v>73032</v>
      </c>
    </row>
    <row r="268" spans="1:11">
      <c r="A268" s="3" t="s">
        <v>652</v>
      </c>
      <c r="B268" s="3" t="s">
        <v>82</v>
      </c>
      <c r="C268" s="3" t="s">
        <v>146</v>
      </c>
      <c r="D268" s="3" t="s">
        <v>33</v>
      </c>
      <c r="E268" s="3" t="s">
        <v>79</v>
      </c>
      <c r="F268" s="3">
        <v>45</v>
      </c>
      <c r="G268" s="3" t="s">
        <v>16</v>
      </c>
      <c r="H268" s="3" t="s">
        <v>653</v>
      </c>
      <c r="I268" s="3"/>
      <c r="J268" s="3" t="s">
        <v>17</v>
      </c>
      <c r="K268" s="3">
        <v>75662</v>
      </c>
    </row>
    <row r="269" spans="1:11">
      <c r="A269" s="3" t="s">
        <v>654</v>
      </c>
      <c r="B269" s="3" t="s">
        <v>78</v>
      </c>
      <c r="C269" s="3" t="s">
        <v>53</v>
      </c>
      <c r="D269" s="3" t="s">
        <v>33</v>
      </c>
      <c r="E269" s="3" t="s">
        <v>79</v>
      </c>
      <c r="F269" s="3">
        <v>24</v>
      </c>
      <c r="G269" s="3" t="s">
        <v>23</v>
      </c>
      <c r="H269" s="3" t="s">
        <v>655</v>
      </c>
      <c r="I269" s="3"/>
      <c r="J269" s="3" t="s">
        <v>17</v>
      </c>
      <c r="K269" s="3">
        <v>73344</v>
      </c>
    </row>
    <row r="270" spans="1:11">
      <c r="A270" s="3" t="s">
        <v>656</v>
      </c>
      <c r="B270" s="3" t="s">
        <v>68</v>
      </c>
      <c r="C270" s="3" t="s">
        <v>135</v>
      </c>
      <c r="D270" s="3" t="s">
        <v>64</v>
      </c>
      <c r="E270" s="3" t="s">
        <v>266</v>
      </c>
      <c r="F270" s="3">
        <v>26</v>
      </c>
      <c r="G270" s="3" t="s">
        <v>16</v>
      </c>
      <c r="H270" s="3" t="s">
        <v>657</v>
      </c>
      <c r="I270" s="3"/>
      <c r="J270" s="3" t="s">
        <v>17</v>
      </c>
      <c r="K270" s="3">
        <v>22541</v>
      </c>
    </row>
    <row r="271" spans="1:11">
      <c r="A271" s="3" t="s">
        <v>658</v>
      </c>
      <c r="B271" s="3" t="s">
        <v>238</v>
      </c>
      <c r="C271" s="3" t="s">
        <v>103</v>
      </c>
      <c r="D271" s="3" t="s">
        <v>64</v>
      </c>
      <c r="E271" s="3" t="s">
        <v>266</v>
      </c>
      <c r="F271" s="3">
        <v>33</v>
      </c>
      <c r="G271" s="3" t="s">
        <v>16</v>
      </c>
      <c r="H271" s="3" t="s">
        <v>659</v>
      </c>
      <c r="I271" s="3"/>
      <c r="J271" s="3" t="s">
        <v>17</v>
      </c>
      <c r="K271" s="3">
        <v>100586</v>
      </c>
    </row>
    <row r="272" spans="1:11">
      <c r="A272" s="3" t="s">
        <v>660</v>
      </c>
      <c r="B272" s="3" t="s">
        <v>252</v>
      </c>
      <c r="C272" s="3" t="s">
        <v>59</v>
      </c>
      <c r="D272" s="3" t="s">
        <v>43</v>
      </c>
      <c r="E272" s="3" t="s">
        <v>70</v>
      </c>
      <c r="F272" s="3">
        <v>28</v>
      </c>
      <c r="G272" s="3" t="s">
        <v>23</v>
      </c>
      <c r="H272" s="3" t="s">
        <v>661</v>
      </c>
      <c r="I272" s="3"/>
      <c r="J272" s="3" t="s">
        <v>17</v>
      </c>
      <c r="K272" s="3">
        <v>79267</v>
      </c>
    </row>
    <row r="273" spans="1:11">
      <c r="A273" s="3" t="s">
        <v>662</v>
      </c>
      <c r="B273" s="3" t="s">
        <v>152</v>
      </c>
      <c r="C273" s="3" t="s">
        <v>249</v>
      </c>
      <c r="D273" s="3" t="s">
        <v>64</v>
      </c>
      <c r="E273" s="3" t="s">
        <v>161</v>
      </c>
      <c r="F273" s="3">
        <v>30</v>
      </c>
      <c r="G273" s="3" t="s">
        <v>16</v>
      </c>
      <c r="H273" s="4">
        <v>46142</v>
      </c>
      <c r="I273" s="3" t="s">
        <v>663</v>
      </c>
      <c r="J273" s="3" t="s">
        <v>51</v>
      </c>
      <c r="K273" s="3">
        <v>54283</v>
      </c>
    </row>
    <row r="274" spans="1:11">
      <c r="A274" s="3" t="s">
        <v>664</v>
      </c>
      <c r="B274" s="3" t="s">
        <v>152</v>
      </c>
      <c r="C274" s="3" t="s">
        <v>135</v>
      </c>
      <c r="D274" s="3" t="s">
        <v>64</v>
      </c>
      <c r="E274" s="3" t="s">
        <v>161</v>
      </c>
      <c r="F274" s="3">
        <v>25</v>
      </c>
      <c r="G274" s="3" t="s">
        <v>16</v>
      </c>
      <c r="H274" s="3" t="s">
        <v>665</v>
      </c>
      <c r="I274" s="3"/>
      <c r="J274" s="3" t="s">
        <v>17</v>
      </c>
      <c r="K274" s="3">
        <v>46585</v>
      </c>
    </row>
    <row r="275" spans="1:11">
      <c r="A275" s="3" t="s">
        <v>666</v>
      </c>
      <c r="B275" s="3" t="s">
        <v>41</v>
      </c>
      <c r="C275" s="3" t="s">
        <v>164</v>
      </c>
      <c r="D275" s="3" t="s">
        <v>21</v>
      </c>
      <c r="E275" s="3" t="s">
        <v>22</v>
      </c>
      <c r="F275" s="3">
        <v>40</v>
      </c>
      <c r="G275" s="3" t="s">
        <v>16</v>
      </c>
      <c r="H275" s="3" t="s">
        <v>460</v>
      </c>
      <c r="I275" s="3"/>
      <c r="J275" s="3" t="s">
        <v>17</v>
      </c>
      <c r="K275" s="3">
        <v>70904</v>
      </c>
    </row>
    <row r="276" spans="1:11">
      <c r="A276" s="3" t="s">
        <v>667</v>
      </c>
      <c r="B276" s="3" t="s">
        <v>102</v>
      </c>
      <c r="C276" s="3" t="s">
        <v>74</v>
      </c>
      <c r="D276" s="3" t="s">
        <v>33</v>
      </c>
      <c r="E276" s="3" t="s">
        <v>34</v>
      </c>
      <c r="F276" s="3">
        <v>26</v>
      </c>
      <c r="G276" s="3" t="s">
        <v>23</v>
      </c>
      <c r="H276" s="3" t="s">
        <v>668</v>
      </c>
      <c r="I276" s="3"/>
      <c r="J276" s="3" t="s">
        <v>17</v>
      </c>
      <c r="K276" s="3">
        <v>66215</v>
      </c>
    </row>
    <row r="277" spans="1:11">
      <c r="A277" s="3" t="s">
        <v>669</v>
      </c>
      <c r="B277" s="3" t="s">
        <v>263</v>
      </c>
      <c r="C277" s="3" t="s">
        <v>20</v>
      </c>
      <c r="D277" s="3" t="s">
        <v>33</v>
      </c>
      <c r="E277" s="3" t="s">
        <v>34</v>
      </c>
      <c r="F277" s="3">
        <v>23</v>
      </c>
      <c r="G277" s="3" t="s">
        <v>16</v>
      </c>
      <c r="H277" s="3" t="s">
        <v>670</v>
      </c>
      <c r="I277" s="3"/>
      <c r="J277" s="3" t="s">
        <v>17</v>
      </c>
      <c r="K277" s="3">
        <v>33395</v>
      </c>
    </row>
    <row r="278" spans="1:11">
      <c r="A278" s="3" t="s">
        <v>671</v>
      </c>
      <c r="B278" s="3" t="s">
        <v>98</v>
      </c>
      <c r="C278" s="3" t="s">
        <v>177</v>
      </c>
      <c r="D278" s="3" t="s">
        <v>21</v>
      </c>
      <c r="E278" s="3" t="s">
        <v>22</v>
      </c>
      <c r="F278" s="3">
        <v>21</v>
      </c>
      <c r="G278" s="3" t="s">
        <v>16</v>
      </c>
      <c r="H278" s="3" t="s">
        <v>672</v>
      </c>
      <c r="I278" s="3"/>
      <c r="J278" s="3" t="s">
        <v>17</v>
      </c>
      <c r="K278" s="3">
        <v>51091</v>
      </c>
    </row>
    <row r="279" spans="1:11">
      <c r="A279" s="3" t="s">
        <v>673</v>
      </c>
      <c r="B279" s="3" t="s">
        <v>401</v>
      </c>
      <c r="C279" s="3" t="s">
        <v>32</v>
      </c>
      <c r="D279" s="3" t="s">
        <v>21</v>
      </c>
      <c r="E279" s="3" t="s">
        <v>22</v>
      </c>
      <c r="F279" s="3">
        <v>34</v>
      </c>
      <c r="G279" s="3" t="s">
        <v>16</v>
      </c>
      <c r="H279" s="3" t="s">
        <v>674</v>
      </c>
      <c r="I279" s="3"/>
      <c r="J279" s="3" t="s">
        <v>17</v>
      </c>
      <c r="K279" s="3">
        <v>39569</v>
      </c>
    </row>
    <row r="280" spans="1:11">
      <c r="A280" s="3" t="s">
        <v>675</v>
      </c>
      <c r="B280" s="3" t="s">
        <v>263</v>
      </c>
      <c r="C280" s="3" t="s">
        <v>83</v>
      </c>
      <c r="D280" s="3" t="s">
        <v>43</v>
      </c>
      <c r="E280" s="3" t="s">
        <v>70</v>
      </c>
      <c r="F280" s="3">
        <v>45</v>
      </c>
      <c r="G280" s="3" t="s">
        <v>23</v>
      </c>
      <c r="H280" s="3" t="s">
        <v>676</v>
      </c>
      <c r="I280" s="3"/>
      <c r="J280" s="3" t="s">
        <v>17</v>
      </c>
      <c r="K280" s="3">
        <v>60822</v>
      </c>
    </row>
    <row r="281" spans="1:11">
      <c r="A281" s="3" t="s">
        <v>677</v>
      </c>
      <c r="B281" s="3" t="s">
        <v>109</v>
      </c>
      <c r="C281" s="3" t="s">
        <v>129</v>
      </c>
      <c r="D281" s="3" t="s">
        <v>43</v>
      </c>
      <c r="E281" s="3" t="s">
        <v>44</v>
      </c>
      <c r="F281" s="3">
        <v>37</v>
      </c>
      <c r="G281" s="3" t="s">
        <v>16</v>
      </c>
      <c r="H281" s="3" t="s">
        <v>678</v>
      </c>
      <c r="I281" s="3"/>
      <c r="J281" s="3" t="s">
        <v>17</v>
      </c>
      <c r="K281" s="3">
        <v>45162</v>
      </c>
    </row>
    <row r="282" spans="1:11">
      <c r="A282" s="3" t="s">
        <v>679</v>
      </c>
      <c r="B282" s="3" t="s">
        <v>152</v>
      </c>
      <c r="C282" s="3" t="s">
        <v>249</v>
      </c>
      <c r="D282" s="3" t="s">
        <v>43</v>
      </c>
      <c r="E282" s="3" t="s">
        <v>48</v>
      </c>
      <c r="F282" s="3">
        <v>21</v>
      </c>
      <c r="G282" s="3" t="s">
        <v>16</v>
      </c>
      <c r="H282" s="3" t="s">
        <v>680</v>
      </c>
      <c r="I282" s="3"/>
      <c r="J282" s="3" t="s">
        <v>17</v>
      </c>
      <c r="K282" s="3">
        <v>40642</v>
      </c>
    </row>
    <row r="283" spans="1:11">
      <c r="A283" s="3" t="s">
        <v>681</v>
      </c>
      <c r="B283" s="3" t="s">
        <v>109</v>
      </c>
      <c r="C283" s="3" t="s">
        <v>74</v>
      </c>
      <c r="D283" s="3" t="s">
        <v>27</v>
      </c>
      <c r="E283" s="3" t="s">
        <v>28</v>
      </c>
      <c r="F283" s="3">
        <v>27</v>
      </c>
      <c r="G283" s="3" t="s">
        <v>16</v>
      </c>
      <c r="H283" s="3" t="s">
        <v>682</v>
      </c>
      <c r="I283" s="3" t="s">
        <v>683</v>
      </c>
      <c r="J283" s="3" t="s">
        <v>51</v>
      </c>
      <c r="K283" s="3">
        <v>63588</v>
      </c>
    </row>
    <row r="284" spans="1:11">
      <c r="A284" s="3" t="s">
        <v>684</v>
      </c>
      <c r="B284" s="3" t="s">
        <v>58</v>
      </c>
      <c r="C284" s="3" t="s">
        <v>13</v>
      </c>
      <c r="D284" s="3" t="s">
        <v>64</v>
      </c>
      <c r="E284" s="3" t="s">
        <v>266</v>
      </c>
      <c r="F284" s="3">
        <v>40</v>
      </c>
      <c r="G284" s="3" t="s">
        <v>16</v>
      </c>
      <c r="H284" s="3" t="s">
        <v>685</v>
      </c>
      <c r="I284" s="3"/>
      <c r="J284" s="3" t="s">
        <v>17</v>
      </c>
      <c r="K284" s="3">
        <v>75767</v>
      </c>
    </row>
    <row r="285" spans="1:11">
      <c r="A285" s="3" t="s">
        <v>686</v>
      </c>
      <c r="B285" s="3" t="s">
        <v>73</v>
      </c>
      <c r="C285" s="3" t="s">
        <v>20</v>
      </c>
      <c r="D285" s="3" t="s">
        <v>43</v>
      </c>
      <c r="E285" s="3" t="s">
        <v>48</v>
      </c>
      <c r="F285" s="3">
        <v>27</v>
      </c>
      <c r="G285" s="3" t="s">
        <v>16</v>
      </c>
      <c r="H285" s="3" t="s">
        <v>687</v>
      </c>
      <c r="I285" s="3"/>
      <c r="J285" s="3" t="s">
        <v>17</v>
      </c>
      <c r="K285" s="3">
        <v>56706</v>
      </c>
    </row>
    <row r="286" spans="1:11">
      <c r="A286" s="3" t="s">
        <v>688</v>
      </c>
      <c r="B286" s="3" t="s">
        <v>31</v>
      </c>
      <c r="C286" s="3" t="s">
        <v>42</v>
      </c>
      <c r="D286" s="3" t="s">
        <v>21</v>
      </c>
      <c r="E286" s="3" t="s">
        <v>22</v>
      </c>
      <c r="F286" s="3">
        <v>32</v>
      </c>
      <c r="G286" s="3" t="s">
        <v>16</v>
      </c>
      <c r="H286" s="3" t="s">
        <v>689</v>
      </c>
      <c r="I286" s="3"/>
      <c r="J286" s="3" t="s">
        <v>17</v>
      </c>
      <c r="K286" s="3">
        <v>69424</v>
      </c>
    </row>
    <row r="287" spans="1:11">
      <c r="A287" s="3" t="s">
        <v>690</v>
      </c>
      <c r="B287" s="3" t="s">
        <v>68</v>
      </c>
      <c r="C287" s="3" t="s">
        <v>32</v>
      </c>
      <c r="D287" s="3" t="s">
        <v>21</v>
      </c>
      <c r="E287" s="3" t="s">
        <v>22</v>
      </c>
      <c r="F287" s="3">
        <v>31</v>
      </c>
      <c r="G287" s="3" t="s">
        <v>23</v>
      </c>
      <c r="H287" s="3" t="s">
        <v>691</v>
      </c>
      <c r="I287" s="3"/>
      <c r="J287" s="3" t="s">
        <v>17</v>
      </c>
      <c r="K287" s="3">
        <v>47631</v>
      </c>
    </row>
    <row r="288" spans="1:11">
      <c r="A288" s="3" t="s">
        <v>692</v>
      </c>
      <c r="B288" s="3" t="s">
        <v>216</v>
      </c>
      <c r="C288" s="3" t="s">
        <v>113</v>
      </c>
      <c r="D288" s="3" t="s">
        <v>14</v>
      </c>
      <c r="E288" s="3" t="s">
        <v>15</v>
      </c>
      <c r="F288" s="3">
        <v>51</v>
      </c>
      <c r="G288" s="3" t="s">
        <v>23</v>
      </c>
      <c r="H288" s="3" t="s">
        <v>693</v>
      </c>
      <c r="I288" s="3" t="s">
        <v>694</v>
      </c>
      <c r="J288" s="3" t="s">
        <v>51</v>
      </c>
      <c r="K288" s="3">
        <v>53543</v>
      </c>
    </row>
    <row r="289" spans="1:11">
      <c r="A289" s="3" t="s">
        <v>695</v>
      </c>
      <c r="B289" s="3" t="s">
        <v>401</v>
      </c>
      <c r="C289" s="3" t="s">
        <v>164</v>
      </c>
      <c r="D289" s="3" t="s">
        <v>64</v>
      </c>
      <c r="E289" s="3" t="s">
        <v>266</v>
      </c>
      <c r="F289" s="3">
        <v>29</v>
      </c>
      <c r="G289" s="3" t="s">
        <v>16</v>
      </c>
      <c r="H289" s="3" t="s">
        <v>696</v>
      </c>
      <c r="I289" s="3"/>
      <c r="J289" s="3" t="s">
        <v>17</v>
      </c>
      <c r="K289" s="3">
        <v>65545</v>
      </c>
    </row>
    <row r="290" spans="1:11">
      <c r="A290" s="3" t="s">
        <v>697</v>
      </c>
      <c r="B290" s="3" t="s">
        <v>78</v>
      </c>
      <c r="C290" s="3" t="s">
        <v>63</v>
      </c>
      <c r="D290" s="3" t="s">
        <v>43</v>
      </c>
      <c r="E290" s="3" t="s">
        <v>70</v>
      </c>
      <c r="F290" s="3">
        <v>28</v>
      </c>
      <c r="G290" s="3" t="s">
        <v>23</v>
      </c>
      <c r="H290" s="3" t="s">
        <v>698</v>
      </c>
      <c r="I290" s="3" t="s">
        <v>699</v>
      </c>
      <c r="J290" s="3" t="s">
        <v>51</v>
      </c>
      <c r="K290" s="3">
        <v>19780</v>
      </c>
    </row>
    <row r="291" spans="1:11">
      <c r="A291" s="3" t="s">
        <v>700</v>
      </c>
      <c r="B291" s="3" t="s">
        <v>41</v>
      </c>
      <c r="C291" s="3" t="s">
        <v>20</v>
      </c>
      <c r="D291" s="3" t="s">
        <v>33</v>
      </c>
      <c r="E291" s="3" t="s">
        <v>34</v>
      </c>
      <c r="F291" s="3">
        <v>30</v>
      </c>
      <c r="G291" s="3" t="s">
        <v>16</v>
      </c>
      <c r="H291" s="3" t="s">
        <v>701</v>
      </c>
      <c r="I291" s="3"/>
      <c r="J291" s="3" t="s">
        <v>17</v>
      </c>
      <c r="K291" s="3">
        <v>22804</v>
      </c>
    </row>
    <row r="292" spans="1:11">
      <c r="A292" s="3" t="s">
        <v>702</v>
      </c>
      <c r="B292" s="3" t="s">
        <v>47</v>
      </c>
      <c r="C292" s="3" t="s">
        <v>169</v>
      </c>
      <c r="D292" s="3" t="s">
        <v>21</v>
      </c>
      <c r="E292" s="3" t="s">
        <v>87</v>
      </c>
      <c r="F292" s="3">
        <v>35</v>
      </c>
      <c r="G292" s="3" t="s">
        <v>16</v>
      </c>
      <c r="H292" s="3" t="s">
        <v>703</v>
      </c>
      <c r="I292" s="3"/>
      <c r="J292" s="3" t="s">
        <v>17</v>
      </c>
      <c r="K292" s="3">
        <v>47591</v>
      </c>
    </row>
    <row r="293" spans="1:11">
      <c r="A293" s="3" t="s">
        <v>704</v>
      </c>
      <c r="B293" s="3" t="s">
        <v>90</v>
      </c>
      <c r="C293" s="3" t="s">
        <v>59</v>
      </c>
      <c r="D293" s="3" t="s">
        <v>99</v>
      </c>
      <c r="E293" s="3" t="s">
        <v>79</v>
      </c>
      <c r="F293" s="3">
        <v>35</v>
      </c>
      <c r="G293" s="3" t="s">
        <v>16</v>
      </c>
      <c r="H293" s="4">
        <v>44351</v>
      </c>
      <c r="I293" s="3"/>
      <c r="J293" s="3" t="s">
        <v>17</v>
      </c>
      <c r="K293" s="3">
        <v>82445</v>
      </c>
    </row>
    <row r="294" spans="1:11">
      <c r="A294" s="3" t="s">
        <v>705</v>
      </c>
      <c r="B294" s="3" t="s">
        <v>160</v>
      </c>
      <c r="C294" s="3" t="s">
        <v>129</v>
      </c>
      <c r="D294" s="3" t="s">
        <v>27</v>
      </c>
      <c r="E294" s="3" t="s">
        <v>54</v>
      </c>
      <c r="F294" s="3">
        <v>43</v>
      </c>
      <c r="G294" s="3" t="s">
        <v>23</v>
      </c>
      <c r="H294" s="3" t="s">
        <v>706</v>
      </c>
      <c r="I294" s="3"/>
      <c r="J294" s="3" t="s">
        <v>17</v>
      </c>
      <c r="K294" s="3">
        <v>18000</v>
      </c>
    </row>
    <row r="295" spans="1:11">
      <c r="A295" s="3" t="s">
        <v>707</v>
      </c>
      <c r="B295" s="3" t="s">
        <v>125</v>
      </c>
      <c r="C295" s="3" t="s">
        <v>42</v>
      </c>
      <c r="D295" s="3" t="s">
        <v>43</v>
      </c>
      <c r="E295" s="3" t="s">
        <v>44</v>
      </c>
      <c r="F295" s="3">
        <v>21</v>
      </c>
      <c r="G295" s="3" t="s">
        <v>16</v>
      </c>
      <c r="H295" s="3" t="s">
        <v>708</v>
      </c>
      <c r="I295" s="3"/>
      <c r="J295" s="3" t="s">
        <v>17</v>
      </c>
      <c r="K295" s="3">
        <v>36244</v>
      </c>
    </row>
    <row r="296" spans="1:11">
      <c r="A296" s="3" t="s">
        <v>709</v>
      </c>
      <c r="B296" s="3" t="s">
        <v>141</v>
      </c>
      <c r="C296" s="3" t="s">
        <v>13</v>
      </c>
      <c r="D296" s="3" t="s">
        <v>43</v>
      </c>
      <c r="E296" s="3" t="s">
        <v>48</v>
      </c>
      <c r="F296" s="3">
        <v>27</v>
      </c>
      <c r="G296" s="3" t="s">
        <v>23</v>
      </c>
      <c r="H296" s="3" t="s">
        <v>710</v>
      </c>
      <c r="I296" s="3"/>
      <c r="J296" s="3" t="s">
        <v>17</v>
      </c>
      <c r="K296" s="3">
        <v>48147</v>
      </c>
    </row>
    <row r="297" spans="1:11">
      <c r="A297" s="3" t="s">
        <v>711</v>
      </c>
      <c r="B297" s="3" t="s">
        <v>152</v>
      </c>
      <c r="C297" s="3" t="s">
        <v>32</v>
      </c>
      <c r="D297" s="3" t="s">
        <v>33</v>
      </c>
      <c r="E297" s="3" t="s">
        <v>34</v>
      </c>
      <c r="F297" s="3">
        <v>30</v>
      </c>
      <c r="G297" s="3" t="s">
        <v>23</v>
      </c>
      <c r="H297" s="3" t="s">
        <v>712</v>
      </c>
      <c r="I297" s="3"/>
      <c r="J297" s="3" t="s">
        <v>17</v>
      </c>
      <c r="K297" s="3">
        <v>61801</v>
      </c>
    </row>
    <row r="298" spans="1:11">
      <c r="A298" s="3" t="s">
        <v>713</v>
      </c>
      <c r="B298" s="3" t="s">
        <v>62</v>
      </c>
      <c r="C298" s="3" t="s">
        <v>32</v>
      </c>
      <c r="D298" s="3" t="s">
        <v>21</v>
      </c>
      <c r="E298" s="3" t="s">
        <v>155</v>
      </c>
      <c r="F298" s="3">
        <v>36</v>
      </c>
      <c r="G298" s="3" t="s">
        <v>23</v>
      </c>
      <c r="H298" s="3" t="s">
        <v>714</v>
      </c>
      <c r="I298" s="3"/>
      <c r="J298" s="3" t="s">
        <v>17</v>
      </c>
      <c r="K298" s="3">
        <v>84004</v>
      </c>
    </row>
    <row r="299" spans="1:11">
      <c r="A299" s="3" t="s">
        <v>715</v>
      </c>
      <c r="B299" s="3" t="s">
        <v>160</v>
      </c>
      <c r="C299" s="3" t="s">
        <v>169</v>
      </c>
      <c r="D299" s="3" t="s">
        <v>21</v>
      </c>
      <c r="E299" s="3" t="s">
        <v>22</v>
      </c>
      <c r="F299" s="3">
        <v>27</v>
      </c>
      <c r="G299" s="3" t="s">
        <v>16</v>
      </c>
      <c r="H299" s="3" t="s">
        <v>716</v>
      </c>
      <c r="I299" s="3"/>
      <c r="J299" s="3" t="s">
        <v>17</v>
      </c>
      <c r="K299" s="3">
        <v>48788</v>
      </c>
    </row>
    <row r="300" spans="1:11">
      <c r="A300" s="3" t="s">
        <v>717</v>
      </c>
      <c r="B300" s="3" t="s">
        <v>73</v>
      </c>
      <c r="C300" s="3" t="s">
        <v>249</v>
      </c>
      <c r="D300" s="3" t="s">
        <v>33</v>
      </c>
      <c r="E300" s="3" t="s">
        <v>79</v>
      </c>
      <c r="F300">
        <v>32</v>
      </c>
      <c r="G300" s="3" t="s">
        <v>16</v>
      </c>
      <c r="H300" s="3" t="s">
        <v>718</v>
      </c>
      <c r="I300" s="3"/>
      <c r="J300" s="3" t="s">
        <v>17</v>
      </c>
      <c r="K300" s="3">
        <v>49298</v>
      </c>
    </row>
    <row r="301" spans="1:11">
      <c r="A301" s="3" t="s">
        <v>719</v>
      </c>
      <c r="B301" s="3" t="s">
        <v>86</v>
      </c>
      <c r="C301" s="3" t="s">
        <v>83</v>
      </c>
      <c r="D301" s="3" t="s">
        <v>21</v>
      </c>
      <c r="E301" s="3" t="s">
        <v>22</v>
      </c>
      <c r="F301" s="3">
        <v>49</v>
      </c>
      <c r="G301" s="3" t="s">
        <v>16</v>
      </c>
      <c r="H301" s="3" t="s">
        <v>301</v>
      </c>
      <c r="I301" s="3" t="s">
        <v>720</v>
      </c>
      <c r="J301" s="3" t="s">
        <v>51</v>
      </c>
      <c r="K301" s="3">
        <v>78579</v>
      </c>
    </row>
    <row r="302" spans="1:11">
      <c r="A302" s="3" t="s">
        <v>721</v>
      </c>
      <c r="B302" s="3" t="s">
        <v>68</v>
      </c>
      <c r="C302" s="3" t="s">
        <v>38</v>
      </c>
      <c r="D302" s="3" t="s">
        <v>43</v>
      </c>
      <c r="E302" s="3" t="s">
        <v>44</v>
      </c>
      <c r="F302" s="3">
        <v>39</v>
      </c>
      <c r="G302" s="3" t="s">
        <v>16</v>
      </c>
      <c r="H302" s="3" t="s">
        <v>722</v>
      </c>
      <c r="I302" s="3"/>
      <c r="J302" s="3" t="s">
        <v>17</v>
      </c>
      <c r="K302" s="3">
        <v>88028</v>
      </c>
    </row>
    <row r="303" spans="1:11">
      <c r="A303" s="3" t="s">
        <v>723</v>
      </c>
      <c r="B303" s="3" t="s">
        <v>298</v>
      </c>
      <c r="C303" s="3" t="s">
        <v>83</v>
      </c>
      <c r="D303" s="3" t="s">
        <v>43</v>
      </c>
      <c r="E303" s="3" t="s">
        <v>48</v>
      </c>
      <c r="F303" s="3">
        <v>35</v>
      </c>
      <c r="G303" s="3" t="s">
        <v>23</v>
      </c>
      <c r="H303" s="4">
        <v>44887</v>
      </c>
      <c r="I303" s="3"/>
      <c r="J303" s="3" t="s">
        <v>17</v>
      </c>
      <c r="K303" s="3">
        <v>65057</v>
      </c>
    </row>
    <row r="304" spans="1:11">
      <c r="A304" s="3" t="s">
        <v>724</v>
      </c>
      <c r="B304" s="3" t="s">
        <v>12</v>
      </c>
      <c r="C304" s="3" t="s">
        <v>83</v>
      </c>
      <c r="D304" s="3" t="s">
        <v>64</v>
      </c>
      <c r="E304" s="3" t="s">
        <v>266</v>
      </c>
      <c r="F304" s="3"/>
      <c r="G304" s="3" t="s">
        <v>16</v>
      </c>
      <c r="H304" s="3" t="s">
        <v>725</v>
      </c>
      <c r="I304" s="3"/>
      <c r="J304" s="3" t="s">
        <v>17</v>
      </c>
      <c r="K304" s="3">
        <v>36266</v>
      </c>
    </row>
    <row r="305" spans="1:11">
      <c r="A305" s="3" t="s">
        <v>726</v>
      </c>
      <c r="B305" s="3" t="s">
        <v>78</v>
      </c>
      <c r="C305" s="3" t="s">
        <v>74</v>
      </c>
      <c r="D305" s="3" t="s">
        <v>21</v>
      </c>
      <c r="E305" s="3" t="s">
        <v>95</v>
      </c>
      <c r="F305" s="3">
        <v>39</v>
      </c>
      <c r="G305" s="3" t="s">
        <v>16</v>
      </c>
      <c r="H305" s="3" t="s">
        <v>727</v>
      </c>
      <c r="I305" s="3"/>
      <c r="J305" s="3" t="s">
        <v>17</v>
      </c>
      <c r="K305" s="3">
        <v>50003</v>
      </c>
    </row>
    <row r="306" spans="1:11">
      <c r="A306" s="3" t="s">
        <v>728</v>
      </c>
      <c r="B306" s="3" t="s">
        <v>252</v>
      </c>
      <c r="C306" s="3" t="s">
        <v>69</v>
      </c>
      <c r="D306" s="3" t="s">
        <v>43</v>
      </c>
      <c r="E306" s="3" t="s">
        <v>70</v>
      </c>
      <c r="F306" s="3">
        <v>32</v>
      </c>
      <c r="G306" s="3" t="s">
        <v>23</v>
      </c>
      <c r="H306" s="3" t="s">
        <v>729</v>
      </c>
      <c r="I306" s="3"/>
      <c r="J306" s="3" t="s">
        <v>17</v>
      </c>
      <c r="K306" s="3">
        <v>58899</v>
      </c>
    </row>
    <row r="307" spans="1:11">
      <c r="A307" s="3" t="s">
        <v>730</v>
      </c>
      <c r="B307" s="3" t="s">
        <v>216</v>
      </c>
      <c r="C307" s="3" t="s">
        <v>74</v>
      </c>
      <c r="D307" s="3" t="s">
        <v>14</v>
      </c>
      <c r="E307" s="3" t="s">
        <v>75</v>
      </c>
      <c r="F307" s="3">
        <v>30</v>
      </c>
      <c r="G307" s="3" t="s">
        <v>23</v>
      </c>
      <c r="H307" s="3" t="s">
        <v>731</v>
      </c>
      <c r="I307" s="3"/>
      <c r="J307" s="3" t="s">
        <v>17</v>
      </c>
      <c r="K307" s="3">
        <v>72948</v>
      </c>
    </row>
    <row r="308" spans="1:11">
      <c r="A308" s="3" t="s">
        <v>732</v>
      </c>
      <c r="B308" s="3" t="s">
        <v>112</v>
      </c>
      <c r="C308" s="3" t="s">
        <v>174</v>
      </c>
      <c r="D308" s="3" t="s">
        <v>648</v>
      </c>
      <c r="E308" s="3" t="s">
        <v>266</v>
      </c>
      <c r="F308" s="3">
        <v>29</v>
      </c>
      <c r="G308" s="3" t="s">
        <v>16</v>
      </c>
      <c r="H308" s="3" t="s">
        <v>733</v>
      </c>
      <c r="I308" s="3"/>
      <c r="J308" s="3" t="s">
        <v>17</v>
      </c>
      <c r="K308" s="3">
        <v>38122</v>
      </c>
    </row>
    <row r="309" spans="1:11">
      <c r="A309" s="3" t="s">
        <v>734</v>
      </c>
      <c r="B309" s="3" t="s">
        <v>109</v>
      </c>
      <c r="C309" s="3" t="s">
        <v>129</v>
      </c>
      <c r="D309" s="3" t="s">
        <v>43</v>
      </c>
      <c r="E309" s="3" t="s">
        <v>48</v>
      </c>
      <c r="F309" s="3">
        <v>39</v>
      </c>
      <c r="G309" s="3" t="s">
        <v>16</v>
      </c>
      <c r="H309" s="3" t="s">
        <v>735</v>
      </c>
      <c r="I309" s="3"/>
      <c r="J309" s="3" t="s">
        <v>17</v>
      </c>
      <c r="K309" s="3">
        <v>62653</v>
      </c>
    </row>
    <row r="310" spans="1:11">
      <c r="A310" s="3" t="s">
        <v>736</v>
      </c>
      <c r="B310" s="3" t="s">
        <v>102</v>
      </c>
      <c r="C310" s="3" t="s">
        <v>32</v>
      </c>
      <c r="D310" s="3" t="s">
        <v>14</v>
      </c>
      <c r="E310" s="3" t="s">
        <v>75</v>
      </c>
      <c r="F310" s="3">
        <v>33</v>
      </c>
      <c r="G310" s="3" t="s">
        <v>23</v>
      </c>
      <c r="H310" s="3" t="s">
        <v>737</v>
      </c>
      <c r="I310" s="3"/>
      <c r="J310" s="3" t="s">
        <v>17</v>
      </c>
      <c r="K310" s="3">
        <v>61109</v>
      </c>
    </row>
    <row r="311" spans="1:11">
      <c r="A311" s="3" t="s">
        <v>738</v>
      </c>
      <c r="B311" s="3" t="s">
        <v>37</v>
      </c>
      <c r="C311" s="3" t="s">
        <v>169</v>
      </c>
      <c r="D311" s="3" t="s">
        <v>594</v>
      </c>
      <c r="E311" s="3" t="s">
        <v>161</v>
      </c>
      <c r="F311" s="3">
        <v>39</v>
      </c>
      <c r="G311" s="3" t="s">
        <v>16</v>
      </c>
      <c r="H311" s="3" t="s">
        <v>739</v>
      </c>
      <c r="I311" s="3"/>
      <c r="J311" s="3" t="s">
        <v>17</v>
      </c>
      <c r="K311" s="3">
        <v>33265</v>
      </c>
    </row>
    <row r="312" spans="1:11">
      <c r="A312" s="3" t="s">
        <v>740</v>
      </c>
      <c r="B312" s="3" t="s">
        <v>121</v>
      </c>
      <c r="C312" s="3" t="s">
        <v>42</v>
      </c>
      <c r="D312" s="3" t="s">
        <v>21</v>
      </c>
      <c r="E312" s="3" t="s">
        <v>95</v>
      </c>
      <c r="F312" s="3">
        <v>25</v>
      </c>
      <c r="G312" s="3" t="s">
        <v>23</v>
      </c>
      <c r="H312" s="3" t="s">
        <v>301</v>
      </c>
      <c r="I312" s="3"/>
      <c r="J312" s="3" t="s">
        <v>17</v>
      </c>
      <c r="K312" s="3">
        <v>65857</v>
      </c>
    </row>
    <row r="313" spans="1:11">
      <c r="A313" s="3" t="s">
        <v>741</v>
      </c>
      <c r="B313" s="3" t="s">
        <v>160</v>
      </c>
      <c r="C313" s="3" t="s">
        <v>69</v>
      </c>
      <c r="D313" s="3" t="s">
        <v>43</v>
      </c>
      <c r="E313" s="3" t="s">
        <v>48</v>
      </c>
      <c r="F313" s="3">
        <v>25</v>
      </c>
      <c r="G313" s="3" t="s">
        <v>16</v>
      </c>
      <c r="H313" s="3" t="s">
        <v>742</v>
      </c>
      <c r="I313" s="3"/>
      <c r="J313" s="3" t="s">
        <v>17</v>
      </c>
      <c r="K313" s="3">
        <v>25540</v>
      </c>
    </row>
    <row r="314" spans="1:11">
      <c r="A314" s="3" t="s">
        <v>743</v>
      </c>
      <c r="B314" s="3" t="s">
        <v>288</v>
      </c>
      <c r="C314" s="3" t="s">
        <v>135</v>
      </c>
      <c r="D314" s="3" t="s">
        <v>43</v>
      </c>
      <c r="E314" s="3" t="s">
        <v>44</v>
      </c>
      <c r="F314" s="3">
        <v>37</v>
      </c>
      <c r="G314" s="3" t="s">
        <v>16</v>
      </c>
      <c r="H314" s="3" t="s">
        <v>744</v>
      </c>
      <c r="I314" s="3" t="s">
        <v>745</v>
      </c>
      <c r="J314" s="3" t="s">
        <v>51</v>
      </c>
      <c r="K314" s="3">
        <v>44496</v>
      </c>
    </row>
    <row r="315" spans="1:11">
      <c r="A315" s="3" t="s">
        <v>746</v>
      </c>
      <c r="B315" s="3" t="s">
        <v>73</v>
      </c>
      <c r="C315" s="3" t="s">
        <v>205</v>
      </c>
      <c r="D315" s="3" t="s">
        <v>43</v>
      </c>
      <c r="E315" s="3" t="s">
        <v>70</v>
      </c>
      <c r="F315" s="3">
        <v>48</v>
      </c>
      <c r="G315" s="3" t="s">
        <v>16</v>
      </c>
      <c r="H315" s="3" t="s">
        <v>747</v>
      </c>
      <c r="I315" s="3"/>
      <c r="J315" s="3" t="s">
        <v>17</v>
      </c>
      <c r="K315" s="3">
        <v>64828</v>
      </c>
    </row>
    <row r="316" spans="1:11">
      <c r="A316" s="3" t="s">
        <v>748</v>
      </c>
      <c r="B316" s="3" t="s">
        <v>141</v>
      </c>
      <c r="C316" s="3" t="s">
        <v>63</v>
      </c>
      <c r="D316" s="3" t="s">
        <v>64</v>
      </c>
      <c r="E316" s="3" t="s">
        <v>161</v>
      </c>
      <c r="F316" s="3">
        <v>29</v>
      </c>
      <c r="G316" s="3" t="s">
        <v>23</v>
      </c>
      <c r="H316" s="3" t="s">
        <v>749</v>
      </c>
      <c r="I316" s="3"/>
      <c r="J316" s="3" t="s">
        <v>17</v>
      </c>
      <c r="K316" s="3">
        <v>49233</v>
      </c>
    </row>
    <row r="317" spans="1:11">
      <c r="A317" s="3" t="s">
        <v>750</v>
      </c>
      <c r="B317" s="3" t="s">
        <v>288</v>
      </c>
      <c r="C317" s="3" t="s">
        <v>164</v>
      </c>
      <c r="D317" s="3" t="s">
        <v>43</v>
      </c>
      <c r="E317" s="3" t="s">
        <v>48</v>
      </c>
      <c r="F317" s="3">
        <v>34</v>
      </c>
      <c r="G317" s="3" t="s">
        <v>16</v>
      </c>
      <c r="H317" s="3" t="s">
        <v>751</v>
      </c>
      <c r="I317" s="3"/>
      <c r="J317" s="3" t="s">
        <v>17</v>
      </c>
      <c r="K317" s="3">
        <v>53744</v>
      </c>
    </row>
    <row r="318" spans="1:11">
      <c r="A318" s="3" t="s">
        <v>752</v>
      </c>
      <c r="B318" s="3" t="s">
        <v>93</v>
      </c>
      <c r="C318" s="3" t="s">
        <v>13</v>
      </c>
      <c r="D318" s="3" t="s">
        <v>43</v>
      </c>
      <c r="E318" s="3" t="s">
        <v>44</v>
      </c>
      <c r="F318" s="3">
        <v>30</v>
      </c>
      <c r="G318" s="3" t="s">
        <v>16</v>
      </c>
      <c r="H318" s="3" t="s">
        <v>753</v>
      </c>
      <c r="I318" s="3"/>
      <c r="J318" s="3" t="s">
        <v>17</v>
      </c>
      <c r="K318" s="3">
        <v>27460</v>
      </c>
    </row>
    <row r="319" spans="1:11">
      <c r="A319" s="3" t="s">
        <v>754</v>
      </c>
      <c r="B319" s="3" t="s">
        <v>226</v>
      </c>
      <c r="C319" s="3" t="s">
        <v>42</v>
      </c>
      <c r="D319" s="3" t="s">
        <v>64</v>
      </c>
      <c r="E319" s="3" t="s">
        <v>266</v>
      </c>
      <c r="F319" s="3">
        <v>41</v>
      </c>
      <c r="G319" s="3" t="s">
        <v>23</v>
      </c>
      <c r="H319" s="3" t="s">
        <v>755</v>
      </c>
      <c r="I319" s="3"/>
      <c r="J319" s="3" t="s">
        <v>17</v>
      </c>
      <c r="K319" s="3">
        <v>61614</v>
      </c>
    </row>
    <row r="320" spans="1:11">
      <c r="A320" s="3" t="s">
        <v>756</v>
      </c>
      <c r="B320" s="3" t="s">
        <v>37</v>
      </c>
      <c r="C320" s="3" t="s">
        <v>177</v>
      </c>
      <c r="D320" s="3" t="s">
        <v>187</v>
      </c>
      <c r="E320" s="3" t="s">
        <v>95</v>
      </c>
      <c r="F320" s="3">
        <v>47</v>
      </c>
      <c r="G320" s="3" t="s">
        <v>23</v>
      </c>
      <c r="H320" s="3" t="s">
        <v>421</v>
      </c>
      <c r="I320" s="3"/>
      <c r="J320" s="3" t="s">
        <v>17</v>
      </c>
      <c r="K320" s="3">
        <v>25297</v>
      </c>
    </row>
    <row r="321" spans="1:11">
      <c r="A321" s="3" t="s">
        <v>757</v>
      </c>
      <c r="B321" s="3" t="s">
        <v>134</v>
      </c>
      <c r="C321" s="3" t="s">
        <v>53</v>
      </c>
      <c r="D321" s="3" t="s">
        <v>27</v>
      </c>
      <c r="E321" s="3" t="s">
        <v>122</v>
      </c>
      <c r="F321" s="3">
        <v>37</v>
      </c>
      <c r="G321" s="3" t="s">
        <v>16</v>
      </c>
      <c r="H321" s="3" t="s">
        <v>758</v>
      </c>
      <c r="I321" s="3"/>
      <c r="J321" s="3" t="s">
        <v>17</v>
      </c>
      <c r="K321" s="3">
        <v>36382</v>
      </c>
    </row>
    <row r="322" spans="1:11">
      <c r="A322" s="3" t="s">
        <v>759</v>
      </c>
      <c r="B322" s="3" t="s">
        <v>468</v>
      </c>
      <c r="C322" s="3" t="s">
        <v>38</v>
      </c>
      <c r="D322" s="3" t="s">
        <v>43</v>
      </c>
      <c r="E322" s="3" t="s">
        <v>44</v>
      </c>
      <c r="F322" s="3">
        <v>33</v>
      </c>
      <c r="G322" s="3" t="s">
        <v>23</v>
      </c>
      <c r="H322" s="3" t="s">
        <v>760</v>
      </c>
      <c r="I322" s="3"/>
      <c r="J322" s="3" t="s">
        <v>17</v>
      </c>
      <c r="K322" s="3">
        <v>76600</v>
      </c>
    </row>
    <row r="323" spans="1:11">
      <c r="A323" s="3" t="s">
        <v>761</v>
      </c>
      <c r="B323" s="3" t="s">
        <v>86</v>
      </c>
      <c r="C323" s="3" t="s">
        <v>38</v>
      </c>
      <c r="D323" s="3" t="s">
        <v>21</v>
      </c>
      <c r="E323" s="3" t="s">
        <v>87</v>
      </c>
      <c r="F323" s="3">
        <v>39</v>
      </c>
      <c r="G323" s="3" t="s">
        <v>16</v>
      </c>
      <c r="H323" s="3" t="s">
        <v>762</v>
      </c>
      <c r="I323" s="3"/>
      <c r="J323" s="3" t="s">
        <v>17</v>
      </c>
      <c r="K323" s="3">
        <v>48644</v>
      </c>
    </row>
    <row r="324" spans="1:11">
      <c r="A324" s="3" t="s">
        <v>763</v>
      </c>
      <c r="B324" s="3" t="s">
        <v>226</v>
      </c>
      <c r="C324" s="3" t="s">
        <v>164</v>
      </c>
      <c r="D324" s="3" t="s">
        <v>14</v>
      </c>
      <c r="E324" s="3" t="s">
        <v>75</v>
      </c>
      <c r="F324" s="3">
        <v>30</v>
      </c>
      <c r="G324" s="3" t="s">
        <v>23</v>
      </c>
      <c r="H324" s="3" t="s">
        <v>764</v>
      </c>
      <c r="I324" s="3"/>
      <c r="J324" s="3" t="s">
        <v>17</v>
      </c>
      <c r="K324" s="3">
        <v>37735</v>
      </c>
    </row>
    <row r="325" spans="1:11">
      <c r="A325" s="3" t="s">
        <v>765</v>
      </c>
      <c r="B325" s="3" t="s">
        <v>82</v>
      </c>
      <c r="C325" s="3" t="s">
        <v>205</v>
      </c>
      <c r="D325" s="3" t="s">
        <v>43</v>
      </c>
      <c r="E325" s="3" t="s">
        <v>48</v>
      </c>
      <c r="F325" s="3">
        <v>24</v>
      </c>
      <c r="G325" s="3" t="s">
        <v>16</v>
      </c>
      <c r="H325" s="3" t="s">
        <v>766</v>
      </c>
      <c r="I325" s="3"/>
      <c r="J325" s="3" t="s">
        <v>17</v>
      </c>
      <c r="K325" s="3">
        <v>46862</v>
      </c>
    </row>
    <row r="326" spans="1:11">
      <c r="A326" s="3" t="s">
        <v>767</v>
      </c>
      <c r="B326" s="3" t="s">
        <v>73</v>
      </c>
      <c r="C326" s="3" t="s">
        <v>20</v>
      </c>
      <c r="D326" s="3" t="s">
        <v>27</v>
      </c>
      <c r="E326" s="3" t="s">
        <v>54</v>
      </c>
      <c r="F326" s="3">
        <v>46</v>
      </c>
      <c r="G326" s="3" t="s">
        <v>16</v>
      </c>
      <c r="H326" s="3" t="s">
        <v>768</v>
      </c>
      <c r="I326" s="3" t="s">
        <v>769</v>
      </c>
      <c r="J326" s="3" t="s">
        <v>51</v>
      </c>
      <c r="K326" s="3">
        <v>47292</v>
      </c>
    </row>
    <row r="327" spans="1:11">
      <c r="A327" s="3" t="s">
        <v>770</v>
      </c>
      <c r="B327" s="3" t="s">
        <v>112</v>
      </c>
      <c r="C327" s="3" t="s">
        <v>103</v>
      </c>
      <c r="D327" s="3" t="s">
        <v>21</v>
      </c>
      <c r="E327" s="3" t="s">
        <v>87</v>
      </c>
      <c r="F327" s="3">
        <v>29</v>
      </c>
      <c r="G327" s="3" t="s">
        <v>16</v>
      </c>
      <c r="H327" s="3" t="s">
        <v>771</v>
      </c>
      <c r="I327" s="3"/>
      <c r="J327" s="3" t="s">
        <v>17</v>
      </c>
      <c r="K327" s="3">
        <v>46838</v>
      </c>
    </row>
    <row r="328" spans="1:11">
      <c r="A328" s="3" t="s">
        <v>772</v>
      </c>
      <c r="B328" s="3" t="s">
        <v>58</v>
      </c>
      <c r="C328" s="3" t="s">
        <v>164</v>
      </c>
      <c r="D328" s="3" t="s">
        <v>43</v>
      </c>
      <c r="E328" s="3" t="s">
        <v>48</v>
      </c>
      <c r="F328" s="3">
        <v>24</v>
      </c>
      <c r="G328" s="3" t="s">
        <v>23</v>
      </c>
      <c r="H328" s="3" t="s">
        <v>773</v>
      </c>
      <c r="I328" s="3"/>
      <c r="J328" s="3" t="s">
        <v>17</v>
      </c>
      <c r="K328" s="3">
        <v>111677</v>
      </c>
    </row>
    <row r="329" spans="1:11">
      <c r="A329" s="3" t="s">
        <v>774</v>
      </c>
      <c r="B329" s="3" t="s">
        <v>102</v>
      </c>
      <c r="C329" s="3" t="s">
        <v>135</v>
      </c>
      <c r="D329" s="3" t="s">
        <v>21</v>
      </c>
      <c r="E329" s="3" t="s">
        <v>87</v>
      </c>
      <c r="F329" s="3">
        <v>28</v>
      </c>
      <c r="G329" s="3" t="s">
        <v>16</v>
      </c>
      <c r="H329" s="3" t="s">
        <v>775</v>
      </c>
      <c r="I329" s="3"/>
      <c r="J329" s="3" t="s">
        <v>17</v>
      </c>
      <c r="K329" s="3">
        <v>29877</v>
      </c>
    </row>
    <row r="330" spans="1:11">
      <c r="A330" s="3" t="s">
        <v>776</v>
      </c>
      <c r="B330" s="3" t="s">
        <v>152</v>
      </c>
      <c r="C330" s="3" t="s">
        <v>177</v>
      </c>
      <c r="D330" s="3" t="s">
        <v>64</v>
      </c>
      <c r="E330" s="3" t="s">
        <v>161</v>
      </c>
      <c r="F330" s="3">
        <v>45</v>
      </c>
      <c r="G330" s="3" t="s">
        <v>23</v>
      </c>
      <c r="H330" s="3" t="s">
        <v>777</v>
      </c>
      <c r="I330" s="3"/>
      <c r="J330" s="3" t="s">
        <v>17</v>
      </c>
      <c r="K330" s="3">
        <v>68367</v>
      </c>
    </row>
    <row r="331" spans="1:11">
      <c r="A331" s="3" t="s">
        <v>778</v>
      </c>
      <c r="B331" s="3" t="s">
        <v>468</v>
      </c>
      <c r="C331" s="3" t="s">
        <v>38</v>
      </c>
      <c r="D331" s="3" t="s">
        <v>118</v>
      </c>
      <c r="E331" s="3" t="s">
        <v>44</v>
      </c>
      <c r="F331" s="3">
        <v>41</v>
      </c>
      <c r="G331" s="3" t="s">
        <v>16</v>
      </c>
      <c r="H331" s="3" t="s">
        <v>779</v>
      </c>
      <c r="I331" s="3"/>
      <c r="J331" s="3" t="s">
        <v>17</v>
      </c>
      <c r="K331" s="3">
        <v>65600</v>
      </c>
    </row>
    <row r="332" spans="1:11">
      <c r="A332" s="3" t="s">
        <v>780</v>
      </c>
      <c r="B332" s="3" t="s">
        <v>41</v>
      </c>
      <c r="C332" s="3" t="s">
        <v>20</v>
      </c>
      <c r="D332" s="3" t="s">
        <v>33</v>
      </c>
      <c r="E332" s="3" t="s">
        <v>79</v>
      </c>
      <c r="F332" s="3">
        <v>25</v>
      </c>
      <c r="G332" s="3" t="s">
        <v>16</v>
      </c>
      <c r="H332" s="3" t="s">
        <v>781</v>
      </c>
      <c r="I332" s="3"/>
      <c r="J332" s="3" t="s">
        <v>17</v>
      </c>
      <c r="K332" s="3">
        <v>60142</v>
      </c>
    </row>
    <row r="333" spans="1:11">
      <c r="A333" s="3" t="s">
        <v>782</v>
      </c>
      <c r="B333" s="3" t="s">
        <v>125</v>
      </c>
      <c r="C333" s="3" t="s">
        <v>174</v>
      </c>
      <c r="D333" s="3" t="s">
        <v>187</v>
      </c>
      <c r="E333" s="3" t="s">
        <v>155</v>
      </c>
      <c r="F333" s="3">
        <v>30</v>
      </c>
      <c r="G333" s="3" t="s">
        <v>16</v>
      </c>
      <c r="H333" s="3" t="s">
        <v>783</v>
      </c>
      <c r="I333" s="3" t="s">
        <v>784</v>
      </c>
      <c r="J333" s="3" t="s">
        <v>51</v>
      </c>
      <c r="K333" s="3">
        <v>71216</v>
      </c>
    </row>
    <row r="334" spans="1:11">
      <c r="A334" s="3" t="s">
        <v>785</v>
      </c>
      <c r="B334" s="3" t="s">
        <v>288</v>
      </c>
      <c r="C334" s="3" t="s">
        <v>63</v>
      </c>
      <c r="D334" s="3" t="s">
        <v>64</v>
      </c>
      <c r="E334" s="3" t="s">
        <v>266</v>
      </c>
      <c r="F334" s="3">
        <v>23</v>
      </c>
      <c r="G334" s="3" t="s">
        <v>16</v>
      </c>
      <c r="H334" s="3" t="s">
        <v>786</v>
      </c>
      <c r="I334" s="3"/>
      <c r="J334" s="3" t="s">
        <v>17</v>
      </c>
      <c r="K334" s="3">
        <v>44327</v>
      </c>
    </row>
    <row r="335" spans="1:11">
      <c r="A335" s="3" t="s">
        <v>787</v>
      </c>
      <c r="B335" s="3" t="s">
        <v>102</v>
      </c>
      <c r="C335" s="3" t="s">
        <v>42</v>
      </c>
      <c r="D335" s="3" t="s">
        <v>43</v>
      </c>
      <c r="E335" s="3" t="s">
        <v>44</v>
      </c>
      <c r="F335" s="3">
        <v>35</v>
      </c>
      <c r="G335" s="3" t="s">
        <v>23</v>
      </c>
      <c r="H335" s="3" t="s">
        <v>788</v>
      </c>
      <c r="I335" s="3"/>
      <c r="J335" s="3" t="s">
        <v>17</v>
      </c>
      <c r="K335" s="3">
        <v>18940</v>
      </c>
    </row>
    <row r="336" spans="1:11">
      <c r="A336" s="3" t="s">
        <v>789</v>
      </c>
      <c r="B336" s="3" t="s">
        <v>47</v>
      </c>
      <c r="C336" s="3" t="s">
        <v>69</v>
      </c>
      <c r="D336" s="3" t="s">
        <v>27</v>
      </c>
      <c r="E336" s="3" t="s">
        <v>122</v>
      </c>
      <c r="F336" s="3">
        <v>43</v>
      </c>
      <c r="G336" s="3" t="s">
        <v>16</v>
      </c>
      <c r="H336" s="3" t="s">
        <v>353</v>
      </c>
      <c r="I336" s="3"/>
      <c r="J336" s="3" t="s">
        <v>17</v>
      </c>
      <c r="K336" s="3">
        <v>63027</v>
      </c>
    </row>
    <row r="337" spans="1:11">
      <c r="A337" s="3" t="s">
        <v>790</v>
      </c>
      <c r="B337" s="3" t="s">
        <v>121</v>
      </c>
      <c r="C337" s="3" t="s">
        <v>103</v>
      </c>
      <c r="D337" s="3" t="s">
        <v>21</v>
      </c>
      <c r="E337" s="3" t="s">
        <v>95</v>
      </c>
      <c r="F337" s="3">
        <v>30</v>
      </c>
      <c r="G337" s="3" t="s">
        <v>23</v>
      </c>
      <c r="H337" s="3" t="s">
        <v>791</v>
      </c>
      <c r="I337" s="3"/>
      <c r="J337" s="3" t="s">
        <v>17</v>
      </c>
      <c r="K337" s="3">
        <v>48746</v>
      </c>
    </row>
    <row r="338" spans="1:11">
      <c r="A338" s="3" t="s">
        <v>792</v>
      </c>
      <c r="B338" s="3" t="s">
        <v>125</v>
      </c>
      <c r="C338" s="3" t="s">
        <v>74</v>
      </c>
      <c r="D338" s="3" t="s">
        <v>21</v>
      </c>
      <c r="E338" s="3" t="s">
        <v>155</v>
      </c>
      <c r="F338" s="3">
        <v>36</v>
      </c>
      <c r="G338" s="3" t="s">
        <v>16</v>
      </c>
      <c r="H338" s="3" t="s">
        <v>793</v>
      </c>
      <c r="I338" s="3" t="s">
        <v>794</v>
      </c>
      <c r="J338" s="3" t="s">
        <v>51</v>
      </c>
      <c r="K338" s="3">
        <v>82397</v>
      </c>
    </row>
    <row r="339" spans="1:11">
      <c r="A339" s="3" t="s">
        <v>795</v>
      </c>
      <c r="B339" s="3" t="s">
        <v>98</v>
      </c>
      <c r="C339" s="3" t="s">
        <v>205</v>
      </c>
      <c r="D339" s="3" t="s">
        <v>33</v>
      </c>
      <c r="E339" s="3" t="s">
        <v>34</v>
      </c>
      <c r="F339" s="3">
        <v>39</v>
      </c>
      <c r="G339" s="3" t="s">
        <v>23</v>
      </c>
      <c r="H339" s="3" t="s">
        <v>796</v>
      </c>
      <c r="I339" s="3" t="s">
        <v>797</v>
      </c>
      <c r="J339" s="3" t="s">
        <v>51</v>
      </c>
      <c r="K339" s="3">
        <v>82166</v>
      </c>
    </row>
    <row r="340" spans="1:11">
      <c r="A340" s="3" t="s">
        <v>798</v>
      </c>
      <c r="B340" s="3" t="s">
        <v>68</v>
      </c>
      <c r="C340" s="3" t="s">
        <v>94</v>
      </c>
      <c r="D340" s="3" t="s">
        <v>21</v>
      </c>
      <c r="E340" s="3" t="s">
        <v>22</v>
      </c>
      <c r="F340" s="3">
        <v>32</v>
      </c>
      <c r="G340" s="3" t="s">
        <v>23</v>
      </c>
      <c r="H340" s="3" t="s">
        <v>799</v>
      </c>
      <c r="I340" s="3"/>
      <c r="J340" s="3" t="s">
        <v>17</v>
      </c>
      <c r="K340" s="3">
        <v>78257</v>
      </c>
    </row>
    <row r="341" spans="1:11">
      <c r="A341" s="3" t="s">
        <v>800</v>
      </c>
      <c r="B341" s="3" t="s">
        <v>121</v>
      </c>
      <c r="C341" s="3" t="s">
        <v>20</v>
      </c>
      <c r="D341" s="3" t="s">
        <v>118</v>
      </c>
      <c r="E341" s="3" t="s">
        <v>44</v>
      </c>
      <c r="F341" s="3">
        <v>30</v>
      </c>
      <c r="G341" s="3" t="s">
        <v>16</v>
      </c>
      <c r="H341" s="3" t="s">
        <v>801</v>
      </c>
      <c r="I341" s="3"/>
      <c r="J341" s="3" t="s">
        <v>17</v>
      </c>
      <c r="K341" s="3">
        <v>63172</v>
      </c>
    </row>
    <row r="342" spans="1:11">
      <c r="A342" s="3" t="s">
        <v>802</v>
      </c>
      <c r="B342" s="3" t="s">
        <v>134</v>
      </c>
      <c r="C342" s="3" t="s">
        <v>13</v>
      </c>
      <c r="D342" s="3" t="s">
        <v>27</v>
      </c>
      <c r="E342" s="3" t="s">
        <v>28</v>
      </c>
      <c r="F342" s="3">
        <v>33</v>
      </c>
      <c r="G342" s="3" t="s">
        <v>16</v>
      </c>
      <c r="H342" s="3" t="s">
        <v>803</v>
      </c>
      <c r="I342" s="3"/>
      <c r="J342" s="3" t="s">
        <v>17</v>
      </c>
      <c r="K342" s="3">
        <v>36378</v>
      </c>
    </row>
    <row r="343" spans="1:11">
      <c r="A343" s="3" t="s">
        <v>804</v>
      </c>
      <c r="B343" s="3" t="s">
        <v>90</v>
      </c>
      <c r="C343" s="3" t="s">
        <v>94</v>
      </c>
      <c r="D343" s="3" t="s">
        <v>14</v>
      </c>
      <c r="E343" s="3" t="s">
        <v>15</v>
      </c>
      <c r="F343" s="3">
        <v>23</v>
      </c>
      <c r="G343" s="3" t="s">
        <v>23</v>
      </c>
      <c r="H343" s="3" t="s">
        <v>805</v>
      </c>
      <c r="I343" s="3"/>
      <c r="J343" s="3" t="s">
        <v>17</v>
      </c>
      <c r="K343" s="3">
        <v>18000</v>
      </c>
    </row>
    <row r="344" spans="1:11">
      <c r="A344" s="3" t="s">
        <v>806</v>
      </c>
      <c r="B344" s="3" t="s">
        <v>41</v>
      </c>
      <c r="C344" s="3" t="s">
        <v>213</v>
      </c>
      <c r="D344" s="3" t="s">
        <v>14</v>
      </c>
      <c r="E344" s="3" t="s">
        <v>15</v>
      </c>
      <c r="F344" s="3">
        <v>31</v>
      </c>
      <c r="G344" s="3" t="s">
        <v>16</v>
      </c>
      <c r="H344" s="3" t="s">
        <v>807</v>
      </c>
      <c r="I344" s="3"/>
      <c r="J344" s="3" t="s">
        <v>17</v>
      </c>
      <c r="K344" s="3">
        <v>53526</v>
      </c>
    </row>
    <row r="345" spans="1:11">
      <c r="A345" s="3" t="s">
        <v>808</v>
      </c>
      <c r="B345" s="3" t="s">
        <v>252</v>
      </c>
      <c r="C345" s="3" t="s">
        <v>129</v>
      </c>
      <c r="D345" s="3" t="s">
        <v>809</v>
      </c>
      <c r="E345" s="3" t="s">
        <v>70</v>
      </c>
      <c r="F345" s="3">
        <v>43</v>
      </c>
      <c r="G345" s="3" t="s">
        <v>16</v>
      </c>
      <c r="H345" s="3" t="s">
        <v>810</v>
      </c>
      <c r="I345" s="3"/>
      <c r="J345" s="3" t="s">
        <v>17</v>
      </c>
      <c r="K345" s="3">
        <v>39591</v>
      </c>
    </row>
    <row r="346" spans="1:11">
      <c r="A346" s="3" t="s">
        <v>811</v>
      </c>
      <c r="B346" s="3" t="s">
        <v>37</v>
      </c>
      <c r="C346" s="3" t="s">
        <v>205</v>
      </c>
      <c r="D346" s="3" t="s">
        <v>43</v>
      </c>
      <c r="E346" s="3" t="s">
        <v>44</v>
      </c>
      <c r="F346" s="3">
        <v>41</v>
      </c>
      <c r="G346" s="3" t="s">
        <v>16</v>
      </c>
      <c r="H346" s="3" t="s">
        <v>812</v>
      </c>
      <c r="I346" s="3"/>
      <c r="J346" s="3" t="s">
        <v>17</v>
      </c>
      <c r="K346" s="3">
        <v>100292</v>
      </c>
    </row>
    <row r="347" spans="1:11">
      <c r="A347" s="3" t="s">
        <v>813</v>
      </c>
      <c r="B347" s="3" t="s">
        <v>109</v>
      </c>
      <c r="C347" s="3" t="s">
        <v>83</v>
      </c>
      <c r="D347" s="3" t="s">
        <v>43</v>
      </c>
      <c r="E347" s="3" t="s">
        <v>48</v>
      </c>
      <c r="F347" s="3">
        <v>36</v>
      </c>
      <c r="G347" s="3" t="s">
        <v>23</v>
      </c>
      <c r="H347" s="3" t="s">
        <v>814</v>
      </c>
      <c r="I347" s="3"/>
      <c r="J347" s="3" t="s">
        <v>17</v>
      </c>
      <c r="K347" s="3">
        <v>51619</v>
      </c>
    </row>
    <row r="348" spans="1:11">
      <c r="A348" s="3" t="s">
        <v>815</v>
      </c>
      <c r="B348" s="3" t="s">
        <v>19</v>
      </c>
      <c r="C348" s="3" t="s">
        <v>135</v>
      </c>
      <c r="D348" s="3" t="s">
        <v>321</v>
      </c>
      <c r="E348" s="3" t="s">
        <v>22</v>
      </c>
      <c r="F348" s="3">
        <v>39</v>
      </c>
      <c r="G348" s="3" t="s">
        <v>23</v>
      </c>
      <c r="H348" s="3" t="s">
        <v>816</v>
      </c>
      <c r="I348" s="3"/>
      <c r="J348" s="3" t="s">
        <v>17</v>
      </c>
      <c r="K348" s="3">
        <v>72829</v>
      </c>
    </row>
    <row r="349" spans="1:11">
      <c r="A349" s="3" t="s">
        <v>817</v>
      </c>
      <c r="B349" s="3" t="s">
        <v>468</v>
      </c>
      <c r="C349" s="3" t="s">
        <v>169</v>
      </c>
      <c r="D349" s="3" t="s">
        <v>43</v>
      </c>
      <c r="E349" s="3" t="s">
        <v>70</v>
      </c>
      <c r="F349" s="3">
        <v>21</v>
      </c>
      <c r="G349" s="3" t="s">
        <v>16</v>
      </c>
      <c r="H349" s="3" t="s">
        <v>818</v>
      </c>
      <c r="I349" s="3"/>
      <c r="J349" s="3" t="s">
        <v>17</v>
      </c>
      <c r="K349" s="3">
        <v>22453</v>
      </c>
    </row>
    <row r="350" spans="1:11">
      <c r="A350" s="3" t="s">
        <v>819</v>
      </c>
      <c r="B350" s="3" t="s">
        <v>37</v>
      </c>
      <c r="C350" s="3" t="s">
        <v>13</v>
      </c>
      <c r="D350" s="3" t="s">
        <v>21</v>
      </c>
      <c r="E350" s="3" t="s">
        <v>155</v>
      </c>
      <c r="F350" s="3">
        <v>35</v>
      </c>
      <c r="G350" s="3" t="s">
        <v>23</v>
      </c>
      <c r="H350" s="3" t="s">
        <v>820</v>
      </c>
      <c r="I350" s="3"/>
      <c r="J350" s="3" t="s">
        <v>17</v>
      </c>
      <c r="K350" s="3">
        <v>79954</v>
      </c>
    </row>
    <row r="351" spans="1:11">
      <c r="A351" s="3" t="s">
        <v>821</v>
      </c>
      <c r="B351" s="3" t="s">
        <v>102</v>
      </c>
      <c r="C351" s="3" t="s">
        <v>135</v>
      </c>
      <c r="D351" s="3" t="s">
        <v>14</v>
      </c>
      <c r="E351" s="3" t="s">
        <v>75</v>
      </c>
      <c r="F351" s="3">
        <v>22</v>
      </c>
      <c r="G351" s="3" t="s">
        <v>23</v>
      </c>
      <c r="H351" s="3" t="s">
        <v>797</v>
      </c>
      <c r="I351" s="3"/>
      <c r="J351" s="3" t="s">
        <v>17</v>
      </c>
      <c r="K351" s="3">
        <v>65085</v>
      </c>
    </row>
    <row r="352" spans="1:11">
      <c r="A352" s="3" t="s">
        <v>822</v>
      </c>
      <c r="B352" s="3" t="s">
        <v>112</v>
      </c>
      <c r="C352" s="3" t="s">
        <v>59</v>
      </c>
      <c r="D352" s="3" t="s">
        <v>43</v>
      </c>
      <c r="E352" s="3" t="s">
        <v>70</v>
      </c>
      <c r="F352" s="3">
        <v>25</v>
      </c>
      <c r="G352" s="3" t="s">
        <v>16</v>
      </c>
      <c r="H352" s="3" t="s">
        <v>823</v>
      </c>
      <c r="I352" s="3"/>
      <c r="J352" s="3" t="s">
        <v>17</v>
      </c>
      <c r="K352" s="3">
        <v>61510</v>
      </c>
    </row>
    <row r="353" spans="1:11">
      <c r="A353" s="3" t="s">
        <v>824</v>
      </c>
      <c r="B353" s="3" t="s">
        <v>134</v>
      </c>
      <c r="C353" s="3" t="s">
        <v>26</v>
      </c>
      <c r="D353" s="3" t="s">
        <v>64</v>
      </c>
      <c r="E353" s="3" t="s">
        <v>65</v>
      </c>
      <c r="F353" s="3">
        <v>29</v>
      </c>
      <c r="G353" s="3" t="s">
        <v>23</v>
      </c>
      <c r="H353" s="3" t="s">
        <v>825</v>
      </c>
      <c r="I353" s="3"/>
      <c r="J353" s="3" t="s">
        <v>17</v>
      </c>
      <c r="K353" s="3">
        <v>49952</v>
      </c>
    </row>
    <row r="354" spans="1:11">
      <c r="A354" s="3" t="s">
        <v>826</v>
      </c>
      <c r="B354" s="3" t="s">
        <v>93</v>
      </c>
      <c r="C354" s="3" t="s">
        <v>113</v>
      </c>
      <c r="D354" s="3" t="s">
        <v>43</v>
      </c>
      <c r="E354" s="3" t="s">
        <v>70</v>
      </c>
      <c r="F354" s="3">
        <v>29</v>
      </c>
      <c r="G354" s="3" t="s">
        <v>23</v>
      </c>
      <c r="H354" s="3" t="s">
        <v>827</v>
      </c>
      <c r="I354" s="3" t="s">
        <v>828</v>
      </c>
      <c r="J354" s="3" t="s">
        <v>51</v>
      </c>
      <c r="K354" s="3">
        <v>61575</v>
      </c>
    </row>
    <row r="355" spans="1:11">
      <c r="A355" s="3" t="s">
        <v>829</v>
      </c>
      <c r="B355" s="3" t="s">
        <v>93</v>
      </c>
      <c r="C355" s="3" t="s">
        <v>63</v>
      </c>
      <c r="D355" s="3" t="s">
        <v>43</v>
      </c>
      <c r="E355" s="3" t="s">
        <v>44</v>
      </c>
      <c r="F355" s="3">
        <v>29</v>
      </c>
      <c r="G355" s="3" t="s">
        <v>23</v>
      </c>
      <c r="H355" s="3" t="s">
        <v>830</v>
      </c>
      <c r="I355" s="3"/>
      <c r="J355" s="3" t="s">
        <v>17</v>
      </c>
      <c r="K355" s="3">
        <v>48333</v>
      </c>
    </row>
    <row r="356" spans="1:11">
      <c r="A356" s="3" t="s">
        <v>831</v>
      </c>
      <c r="B356" s="3" t="s">
        <v>223</v>
      </c>
      <c r="C356" s="3" t="s">
        <v>53</v>
      </c>
      <c r="D356" s="3" t="s">
        <v>21</v>
      </c>
      <c r="E356" s="3" t="s">
        <v>22</v>
      </c>
      <c r="F356" s="3">
        <v>35</v>
      </c>
      <c r="G356" s="3" t="s">
        <v>16</v>
      </c>
      <c r="H356" s="3" t="s">
        <v>832</v>
      </c>
      <c r="I356" s="3"/>
      <c r="J356" s="3" t="s">
        <v>17</v>
      </c>
      <c r="K356" s="3">
        <v>78192</v>
      </c>
    </row>
    <row r="357" spans="1:11">
      <c r="A357" s="3" t="s">
        <v>833</v>
      </c>
      <c r="B357" s="3" t="s">
        <v>47</v>
      </c>
      <c r="C357" s="3" t="s">
        <v>146</v>
      </c>
      <c r="D357" s="3" t="s">
        <v>43</v>
      </c>
      <c r="E357" s="3" t="s">
        <v>70</v>
      </c>
      <c r="F357" s="3">
        <v>34</v>
      </c>
      <c r="G357" s="3" t="s">
        <v>16</v>
      </c>
      <c r="H357" s="3" t="s">
        <v>834</v>
      </c>
      <c r="I357" s="3"/>
      <c r="J357" s="3" t="s">
        <v>17</v>
      </c>
      <c r="K357" s="3">
        <v>43287</v>
      </c>
    </row>
    <row r="358" spans="1:11">
      <c r="A358" s="3" t="s">
        <v>835</v>
      </c>
      <c r="B358" s="3" t="s">
        <v>62</v>
      </c>
      <c r="C358" s="3" t="s">
        <v>32</v>
      </c>
      <c r="D358" s="3" t="s">
        <v>33</v>
      </c>
      <c r="E358" s="3" t="s">
        <v>34</v>
      </c>
      <c r="F358" s="3">
        <v>31</v>
      </c>
      <c r="G358" s="3" t="s">
        <v>23</v>
      </c>
      <c r="H358" s="3" t="s">
        <v>836</v>
      </c>
      <c r="I358" s="3"/>
      <c r="J358" s="3" t="s">
        <v>17</v>
      </c>
      <c r="K358" s="3">
        <v>45635</v>
      </c>
    </row>
    <row r="359" spans="1:11">
      <c r="A359" s="3" t="s">
        <v>837</v>
      </c>
      <c r="B359" s="3" t="s">
        <v>223</v>
      </c>
      <c r="C359" s="3" t="s">
        <v>38</v>
      </c>
      <c r="D359" s="3" t="s">
        <v>14</v>
      </c>
      <c r="E359" s="3" t="s">
        <v>75</v>
      </c>
      <c r="F359" s="3">
        <v>38</v>
      </c>
      <c r="G359" s="3" t="s">
        <v>16</v>
      </c>
      <c r="H359" s="3" t="s">
        <v>710</v>
      </c>
      <c r="I359" s="3" t="s">
        <v>838</v>
      </c>
      <c r="J359" s="3" t="s">
        <v>51</v>
      </c>
      <c r="K359" s="3">
        <v>62859</v>
      </c>
    </row>
    <row r="360" spans="1:11">
      <c r="A360" s="3" t="s">
        <v>839</v>
      </c>
      <c r="B360" s="3" t="s">
        <v>78</v>
      </c>
      <c r="C360" s="3" t="s">
        <v>74</v>
      </c>
      <c r="D360" s="3" t="s">
        <v>27</v>
      </c>
      <c r="E360" s="3" t="s">
        <v>54</v>
      </c>
      <c r="F360" s="3">
        <v>46</v>
      </c>
      <c r="G360" s="3" t="s">
        <v>23</v>
      </c>
      <c r="H360" s="3" t="s">
        <v>840</v>
      </c>
      <c r="I360" s="3"/>
      <c r="J360" s="3" t="s">
        <v>17</v>
      </c>
      <c r="K360" s="3">
        <v>58975</v>
      </c>
    </row>
    <row r="361" spans="1:11">
      <c r="A361" s="3" t="s">
        <v>841</v>
      </c>
      <c r="B361" s="3" t="s">
        <v>298</v>
      </c>
      <c r="C361" s="3" t="s">
        <v>69</v>
      </c>
      <c r="D361" s="3" t="s">
        <v>21</v>
      </c>
      <c r="E361" s="3" t="s">
        <v>155</v>
      </c>
      <c r="F361" s="3">
        <v>27</v>
      </c>
      <c r="G361" s="3" t="s">
        <v>16</v>
      </c>
      <c r="H361" s="3" t="s">
        <v>842</v>
      </c>
      <c r="I361" s="3"/>
      <c r="J361" s="3" t="s">
        <v>17</v>
      </c>
      <c r="K361" s="3">
        <v>36183</v>
      </c>
    </row>
    <row r="362" spans="1:11">
      <c r="A362" s="3" t="s">
        <v>843</v>
      </c>
      <c r="B362" s="3" t="s">
        <v>252</v>
      </c>
      <c r="C362" s="3" t="s">
        <v>174</v>
      </c>
      <c r="D362" s="3" t="s">
        <v>43</v>
      </c>
      <c r="E362" s="3" t="s">
        <v>70</v>
      </c>
      <c r="F362" s="3">
        <v>41</v>
      </c>
      <c r="G362" s="3" t="s">
        <v>23</v>
      </c>
      <c r="H362" s="3" t="s">
        <v>612</v>
      </c>
      <c r="I362" s="3"/>
      <c r="J362" s="3" t="s">
        <v>17</v>
      </c>
      <c r="K362" s="3">
        <v>49279</v>
      </c>
    </row>
    <row r="363" spans="1:11">
      <c r="A363" s="3" t="s">
        <v>844</v>
      </c>
      <c r="B363" s="3" t="s">
        <v>62</v>
      </c>
      <c r="C363" s="3" t="s">
        <v>94</v>
      </c>
      <c r="D363" s="3" t="s">
        <v>21</v>
      </c>
      <c r="E363" s="3" t="s">
        <v>22</v>
      </c>
      <c r="F363" s="3">
        <v>34</v>
      </c>
      <c r="G363" s="3" t="s">
        <v>16</v>
      </c>
      <c r="H363" s="3" t="s">
        <v>845</v>
      </c>
      <c r="I363" s="3"/>
      <c r="J363" s="3" t="s">
        <v>17</v>
      </c>
      <c r="K363" s="3">
        <v>66197</v>
      </c>
    </row>
    <row r="364" spans="1:11">
      <c r="A364" s="3" t="s">
        <v>846</v>
      </c>
      <c r="B364" s="3" t="s">
        <v>216</v>
      </c>
      <c r="C364" s="3" t="s">
        <v>129</v>
      </c>
      <c r="D364" s="3" t="s">
        <v>27</v>
      </c>
      <c r="E364" s="3" t="s">
        <v>54</v>
      </c>
      <c r="F364" s="3">
        <v>40</v>
      </c>
      <c r="G364" s="3" t="s">
        <v>23</v>
      </c>
      <c r="H364" s="4">
        <v>44025</v>
      </c>
      <c r="I364" s="3"/>
      <c r="J364" s="3" t="s">
        <v>17</v>
      </c>
      <c r="K364" s="3">
        <v>32034</v>
      </c>
    </row>
    <row r="365" spans="1:11">
      <c r="A365" s="3" t="s">
        <v>847</v>
      </c>
      <c r="B365" s="3" t="s">
        <v>141</v>
      </c>
      <c r="C365" s="3" t="s">
        <v>103</v>
      </c>
      <c r="D365" s="3" t="s">
        <v>21</v>
      </c>
      <c r="E365" s="3" t="s">
        <v>155</v>
      </c>
      <c r="F365" s="3">
        <v>38</v>
      </c>
      <c r="G365" s="3" t="s">
        <v>16</v>
      </c>
      <c r="H365" s="3" t="s">
        <v>848</v>
      </c>
      <c r="I365" s="3"/>
      <c r="J365" s="3" t="s">
        <v>17</v>
      </c>
      <c r="K365" s="3">
        <v>58220</v>
      </c>
    </row>
    <row r="366" spans="1:11">
      <c r="A366" s="3" t="s">
        <v>849</v>
      </c>
      <c r="B366" s="3" t="s">
        <v>238</v>
      </c>
      <c r="C366" s="3" t="s">
        <v>177</v>
      </c>
      <c r="D366" s="3" t="s">
        <v>43</v>
      </c>
      <c r="E366" s="3" t="s">
        <v>44</v>
      </c>
      <c r="F366" s="3">
        <v>21</v>
      </c>
      <c r="G366" s="3" t="s">
        <v>16</v>
      </c>
      <c r="H366" s="3" t="s">
        <v>850</v>
      </c>
      <c r="I366" s="3" t="s">
        <v>851</v>
      </c>
      <c r="J366" s="3" t="s">
        <v>51</v>
      </c>
      <c r="K366" s="3">
        <v>41445</v>
      </c>
    </row>
    <row r="367" spans="1:11">
      <c r="A367" s="3" t="s">
        <v>852</v>
      </c>
      <c r="B367" s="3" t="s">
        <v>90</v>
      </c>
      <c r="C367" s="3" t="s">
        <v>69</v>
      </c>
      <c r="D367" s="3" t="s">
        <v>21</v>
      </c>
      <c r="E367" s="3" t="s">
        <v>155</v>
      </c>
      <c r="F367" s="3">
        <v>24</v>
      </c>
      <c r="G367" s="3" t="s">
        <v>23</v>
      </c>
      <c r="H367" s="3" t="s">
        <v>853</v>
      </c>
      <c r="I367" s="3"/>
      <c r="J367" s="3" t="s">
        <v>17</v>
      </c>
      <c r="K367" s="3">
        <v>45669</v>
      </c>
    </row>
    <row r="368" spans="1:11">
      <c r="A368" s="3" t="s">
        <v>854</v>
      </c>
      <c r="B368" s="3" t="s">
        <v>263</v>
      </c>
      <c r="C368" s="3" t="s">
        <v>13</v>
      </c>
      <c r="D368" s="3" t="s">
        <v>27</v>
      </c>
      <c r="E368" s="3" t="s">
        <v>54</v>
      </c>
      <c r="F368" s="3">
        <v>38</v>
      </c>
      <c r="G368" s="3" t="s">
        <v>23</v>
      </c>
      <c r="H368" s="3" t="s">
        <v>855</v>
      </c>
      <c r="I368" s="3"/>
      <c r="J368" s="3" t="s">
        <v>17</v>
      </c>
      <c r="K368" s="3">
        <v>32454</v>
      </c>
    </row>
    <row r="369" spans="1:11">
      <c r="A369" s="3" t="s">
        <v>856</v>
      </c>
      <c r="B369" s="3" t="s">
        <v>78</v>
      </c>
      <c r="C369" s="3" t="s">
        <v>129</v>
      </c>
      <c r="D369" s="3" t="s">
        <v>33</v>
      </c>
      <c r="E369" s="3" t="s">
        <v>79</v>
      </c>
      <c r="F369" s="3">
        <v>46</v>
      </c>
      <c r="G369" s="3" t="s">
        <v>16</v>
      </c>
      <c r="H369" s="3" t="s">
        <v>857</v>
      </c>
      <c r="I369" s="3"/>
      <c r="J369" s="3" t="s">
        <v>17</v>
      </c>
      <c r="K369" s="3">
        <v>37771</v>
      </c>
    </row>
    <row r="370" spans="1:11">
      <c r="A370" s="3" t="s">
        <v>858</v>
      </c>
      <c r="B370" s="3" t="s">
        <v>68</v>
      </c>
      <c r="C370" s="3" t="s">
        <v>74</v>
      </c>
      <c r="D370" s="3" t="s">
        <v>33</v>
      </c>
      <c r="E370" s="3" t="s">
        <v>79</v>
      </c>
      <c r="F370" s="3">
        <v>35</v>
      </c>
      <c r="G370" s="3" t="s">
        <v>23</v>
      </c>
      <c r="H370" s="3" t="s">
        <v>859</v>
      </c>
      <c r="I370" s="3"/>
      <c r="J370" s="3" t="s">
        <v>17</v>
      </c>
      <c r="K370" s="3">
        <v>18000</v>
      </c>
    </row>
    <row r="371" spans="1:11">
      <c r="A371" s="3" t="s">
        <v>860</v>
      </c>
      <c r="B371" s="3" t="s">
        <v>141</v>
      </c>
      <c r="C371" s="3" t="s">
        <v>42</v>
      </c>
      <c r="D371" s="3" t="s">
        <v>27</v>
      </c>
      <c r="E371" s="3" t="s">
        <v>28</v>
      </c>
      <c r="F371" s="3">
        <v>26</v>
      </c>
      <c r="G371" s="3" t="s">
        <v>16</v>
      </c>
      <c r="H371" s="3" t="s">
        <v>861</v>
      </c>
      <c r="I371" s="3"/>
      <c r="J371" s="3" t="s">
        <v>17</v>
      </c>
      <c r="K371" s="3">
        <v>40134</v>
      </c>
    </row>
    <row r="372" spans="1:11">
      <c r="A372" s="3" t="s">
        <v>862</v>
      </c>
      <c r="B372" s="3" t="s">
        <v>401</v>
      </c>
      <c r="C372" s="3" t="s">
        <v>69</v>
      </c>
      <c r="D372" s="3" t="s">
        <v>21</v>
      </c>
      <c r="E372" s="3" t="s">
        <v>95</v>
      </c>
      <c r="F372" s="3">
        <v>34</v>
      </c>
      <c r="G372" s="3" t="s">
        <v>23</v>
      </c>
      <c r="H372" s="3" t="s">
        <v>863</v>
      </c>
      <c r="I372" s="3"/>
      <c r="J372" s="3" t="s">
        <v>17</v>
      </c>
      <c r="K372" s="3">
        <v>49394</v>
      </c>
    </row>
    <row r="373" spans="1:11">
      <c r="A373" s="3" t="s">
        <v>864</v>
      </c>
      <c r="B373" s="3" t="s">
        <v>263</v>
      </c>
      <c r="C373" s="3" t="s">
        <v>129</v>
      </c>
      <c r="D373" s="3" t="s">
        <v>21</v>
      </c>
      <c r="E373" s="3" t="s">
        <v>87</v>
      </c>
      <c r="F373" s="3">
        <v>36</v>
      </c>
      <c r="G373" s="3" t="s">
        <v>23</v>
      </c>
      <c r="H373" s="3" t="s">
        <v>865</v>
      </c>
      <c r="I373" s="3" t="s">
        <v>866</v>
      </c>
      <c r="J373" s="3" t="s">
        <v>51</v>
      </c>
      <c r="K373" s="3">
        <v>48990</v>
      </c>
    </row>
    <row r="374" spans="1:11">
      <c r="A374" s="3" t="s">
        <v>867</v>
      </c>
      <c r="B374" s="3" t="s">
        <v>37</v>
      </c>
      <c r="C374" s="3" t="s">
        <v>213</v>
      </c>
      <c r="D374" s="3" t="s">
        <v>64</v>
      </c>
      <c r="E374" s="3" t="s">
        <v>266</v>
      </c>
      <c r="F374" s="3">
        <v>33</v>
      </c>
      <c r="G374" s="3" t="s">
        <v>16</v>
      </c>
      <c r="H374" s="3" t="s">
        <v>868</v>
      </c>
      <c r="I374" s="3"/>
      <c r="J374" s="3" t="s">
        <v>17</v>
      </c>
      <c r="K374" s="3">
        <v>47935</v>
      </c>
    </row>
    <row r="375" spans="1:11">
      <c r="A375" s="3" t="s">
        <v>869</v>
      </c>
      <c r="B375" s="3" t="s">
        <v>238</v>
      </c>
      <c r="C375" s="3" t="s">
        <v>213</v>
      </c>
      <c r="D375" s="3" t="s">
        <v>21</v>
      </c>
      <c r="E375" s="3" t="s">
        <v>22</v>
      </c>
      <c r="F375" s="3">
        <v>26</v>
      </c>
      <c r="G375" s="3" t="s">
        <v>16</v>
      </c>
      <c r="H375" s="3" t="s">
        <v>870</v>
      </c>
      <c r="I375" s="3" t="s">
        <v>871</v>
      </c>
      <c r="J375" s="3" t="s">
        <v>51</v>
      </c>
      <c r="K375" s="3">
        <v>42294</v>
      </c>
    </row>
    <row r="376" spans="1:11">
      <c r="A376" s="3" t="s">
        <v>872</v>
      </c>
      <c r="B376" s="3" t="s">
        <v>109</v>
      </c>
      <c r="C376" s="3" t="s">
        <v>53</v>
      </c>
      <c r="D376" s="3" t="s">
        <v>435</v>
      </c>
      <c r="E376" s="3" t="s">
        <v>79</v>
      </c>
      <c r="F376" s="3">
        <v>36</v>
      </c>
      <c r="G376" s="3" t="s">
        <v>23</v>
      </c>
      <c r="H376" s="3" t="s">
        <v>873</v>
      </c>
      <c r="I376" s="3"/>
      <c r="J376" s="3" t="s">
        <v>17</v>
      </c>
      <c r="K376" s="3">
        <v>76682</v>
      </c>
    </row>
    <row r="377" spans="1:11">
      <c r="A377" s="3" t="s">
        <v>874</v>
      </c>
      <c r="B377" s="3" t="s">
        <v>31</v>
      </c>
      <c r="C377" s="3" t="s">
        <v>103</v>
      </c>
      <c r="D377" s="3" t="s">
        <v>14</v>
      </c>
      <c r="E377" s="3" t="s">
        <v>75</v>
      </c>
      <c r="F377">
        <v>32</v>
      </c>
      <c r="G377" s="3" t="s">
        <v>23</v>
      </c>
      <c r="H377" s="3" t="s">
        <v>875</v>
      </c>
      <c r="I377" s="3"/>
      <c r="J377" s="3" t="s">
        <v>17</v>
      </c>
      <c r="K377" s="3">
        <v>59896</v>
      </c>
    </row>
    <row r="378" spans="1:11">
      <c r="A378" s="3" t="s">
        <v>876</v>
      </c>
      <c r="B378" s="3" t="s">
        <v>112</v>
      </c>
      <c r="C378" s="3" t="s">
        <v>59</v>
      </c>
      <c r="D378" s="3" t="s">
        <v>33</v>
      </c>
      <c r="E378" s="3" t="s">
        <v>79</v>
      </c>
      <c r="F378" s="3">
        <v>31</v>
      </c>
      <c r="G378" s="3" t="s">
        <v>23</v>
      </c>
      <c r="H378" s="3" t="s">
        <v>877</v>
      </c>
      <c r="I378" s="3"/>
      <c r="J378" s="3" t="s">
        <v>17</v>
      </c>
      <c r="K378" s="3">
        <v>52484</v>
      </c>
    </row>
    <row r="379" spans="1:11">
      <c r="A379" s="3" t="s">
        <v>878</v>
      </c>
      <c r="B379" s="3" t="s">
        <v>31</v>
      </c>
      <c r="C379" s="3" t="s">
        <v>13</v>
      </c>
      <c r="D379" s="3" t="s">
        <v>27</v>
      </c>
      <c r="E379" s="3" t="s">
        <v>54</v>
      </c>
      <c r="F379" s="3">
        <v>35</v>
      </c>
      <c r="G379" s="3" t="s">
        <v>23</v>
      </c>
      <c r="H379" s="3" t="s">
        <v>879</v>
      </c>
      <c r="I379" s="3"/>
      <c r="J379" s="3" t="s">
        <v>17</v>
      </c>
      <c r="K379" s="3">
        <v>40501</v>
      </c>
    </row>
    <row r="380" spans="1:11">
      <c r="A380" s="3" t="s">
        <v>880</v>
      </c>
      <c r="B380" s="3" t="s">
        <v>401</v>
      </c>
      <c r="C380" s="3" t="s">
        <v>53</v>
      </c>
      <c r="D380" s="3" t="s">
        <v>21</v>
      </c>
      <c r="E380" s="3" t="s">
        <v>155</v>
      </c>
      <c r="F380" s="3">
        <v>21</v>
      </c>
      <c r="G380" s="3" t="s">
        <v>23</v>
      </c>
      <c r="H380" s="3" t="s">
        <v>881</v>
      </c>
      <c r="I380" s="3"/>
      <c r="J380" s="3" t="s">
        <v>17</v>
      </c>
      <c r="K380" s="3">
        <v>56591</v>
      </c>
    </row>
    <row r="381" spans="1:11">
      <c r="A381" s="3" t="s">
        <v>882</v>
      </c>
      <c r="B381" s="3" t="s">
        <v>31</v>
      </c>
      <c r="C381" s="3" t="s">
        <v>69</v>
      </c>
      <c r="D381" s="3" t="s">
        <v>43</v>
      </c>
      <c r="E381" s="3" t="s">
        <v>44</v>
      </c>
      <c r="F381" s="3"/>
      <c r="G381" s="3" t="s">
        <v>23</v>
      </c>
      <c r="H381" s="3" t="s">
        <v>883</v>
      </c>
      <c r="I381" s="3"/>
      <c r="J381" s="3" t="s">
        <v>17</v>
      </c>
      <c r="K381" s="3">
        <v>50682</v>
      </c>
    </row>
    <row r="382" spans="1:11">
      <c r="A382" s="3" t="s">
        <v>884</v>
      </c>
      <c r="B382" s="3" t="s">
        <v>41</v>
      </c>
      <c r="C382" s="3" t="s">
        <v>20</v>
      </c>
      <c r="D382" s="3" t="s">
        <v>64</v>
      </c>
      <c r="E382" s="3" t="s">
        <v>161</v>
      </c>
      <c r="F382" s="3">
        <v>24</v>
      </c>
      <c r="G382" s="3" t="s">
        <v>23</v>
      </c>
      <c r="H382" s="3" t="s">
        <v>885</v>
      </c>
      <c r="I382" s="3"/>
      <c r="J382" s="3" t="s">
        <v>17</v>
      </c>
      <c r="K382" s="3">
        <v>28293</v>
      </c>
    </row>
    <row r="383" spans="1:11">
      <c r="A383" s="3" t="s">
        <v>886</v>
      </c>
      <c r="B383" s="3" t="s">
        <v>47</v>
      </c>
      <c r="C383" s="3" t="s">
        <v>164</v>
      </c>
      <c r="D383" s="3" t="s">
        <v>21</v>
      </c>
      <c r="E383" s="3" t="s">
        <v>87</v>
      </c>
      <c r="F383" s="3">
        <v>32</v>
      </c>
      <c r="G383" s="3" t="s">
        <v>16</v>
      </c>
      <c r="H383" s="3" t="s">
        <v>887</v>
      </c>
      <c r="I383" s="3"/>
      <c r="J383" s="3" t="s">
        <v>17</v>
      </c>
      <c r="K383" s="3">
        <v>61154</v>
      </c>
    </row>
    <row r="384" spans="1:11">
      <c r="A384" s="3" t="s">
        <v>888</v>
      </c>
      <c r="B384" s="3" t="s">
        <v>216</v>
      </c>
      <c r="C384" s="3" t="s">
        <v>63</v>
      </c>
      <c r="D384" s="3" t="s">
        <v>21</v>
      </c>
      <c r="E384" s="3" t="s">
        <v>155</v>
      </c>
      <c r="F384" s="3">
        <v>21</v>
      </c>
      <c r="G384" s="3" t="s">
        <v>23</v>
      </c>
      <c r="H384" s="3" t="s">
        <v>889</v>
      </c>
      <c r="I384" s="3"/>
      <c r="J384" s="3" t="s">
        <v>17</v>
      </c>
      <c r="K384" s="3">
        <v>44142</v>
      </c>
    </row>
    <row r="385" spans="1:11">
      <c r="A385" s="3" t="s">
        <v>890</v>
      </c>
      <c r="B385" s="3" t="s">
        <v>19</v>
      </c>
      <c r="C385" s="3" t="s">
        <v>74</v>
      </c>
      <c r="D385" s="3" t="s">
        <v>64</v>
      </c>
      <c r="E385" s="3" t="s">
        <v>65</v>
      </c>
      <c r="F385" s="3">
        <v>31</v>
      </c>
      <c r="G385" s="3" t="s">
        <v>23</v>
      </c>
      <c r="H385" s="3" t="s">
        <v>891</v>
      </c>
      <c r="I385" s="3"/>
      <c r="J385" s="3" t="s">
        <v>17</v>
      </c>
      <c r="K385" s="3">
        <v>33169</v>
      </c>
    </row>
    <row r="386" spans="1:11">
      <c r="A386" s="3" t="s">
        <v>892</v>
      </c>
      <c r="B386" s="3" t="s">
        <v>145</v>
      </c>
      <c r="C386" s="3" t="s">
        <v>20</v>
      </c>
      <c r="D386" s="3" t="s">
        <v>21</v>
      </c>
      <c r="E386" s="3" t="s">
        <v>155</v>
      </c>
      <c r="F386" s="3">
        <v>33</v>
      </c>
      <c r="G386" s="3" t="s">
        <v>23</v>
      </c>
      <c r="H386" s="3" t="s">
        <v>893</v>
      </c>
      <c r="I386" s="3"/>
      <c r="J386" s="3" t="s">
        <v>17</v>
      </c>
      <c r="K386" s="3">
        <v>57379</v>
      </c>
    </row>
    <row r="387" spans="1:11">
      <c r="A387" s="3" t="s">
        <v>894</v>
      </c>
      <c r="B387" s="3" t="s">
        <v>134</v>
      </c>
      <c r="C387" s="3" t="s">
        <v>38</v>
      </c>
      <c r="D387" s="3" t="s">
        <v>27</v>
      </c>
      <c r="E387" s="3" t="s">
        <v>122</v>
      </c>
      <c r="F387" s="3">
        <v>46</v>
      </c>
      <c r="G387" s="3" t="s">
        <v>16</v>
      </c>
      <c r="H387" s="3" t="s">
        <v>633</v>
      </c>
      <c r="I387" s="3"/>
      <c r="J387" s="3" t="s">
        <v>17</v>
      </c>
      <c r="K387" s="3">
        <v>86249</v>
      </c>
    </row>
    <row r="388" spans="1:11">
      <c r="A388" s="3" t="s">
        <v>895</v>
      </c>
      <c r="B388" s="3" t="s">
        <v>12</v>
      </c>
      <c r="C388" s="3" t="s">
        <v>53</v>
      </c>
      <c r="D388" s="3" t="s">
        <v>14</v>
      </c>
      <c r="E388" s="3" t="s">
        <v>75</v>
      </c>
      <c r="F388" s="3">
        <v>22</v>
      </c>
      <c r="G388" s="3" t="s">
        <v>16</v>
      </c>
      <c r="H388" s="3" t="s">
        <v>791</v>
      </c>
      <c r="I388" s="3" t="s">
        <v>896</v>
      </c>
      <c r="J388" s="3" t="s">
        <v>51</v>
      </c>
      <c r="K388" s="3">
        <v>84427</v>
      </c>
    </row>
    <row r="389" spans="1:11">
      <c r="A389" s="3" t="s">
        <v>897</v>
      </c>
      <c r="B389" s="3" t="s">
        <v>12</v>
      </c>
      <c r="C389" s="3" t="s">
        <v>113</v>
      </c>
      <c r="D389" s="3" t="s">
        <v>33</v>
      </c>
      <c r="E389" s="3" t="s">
        <v>79</v>
      </c>
      <c r="F389" s="3">
        <v>36</v>
      </c>
      <c r="G389" s="3" t="s">
        <v>23</v>
      </c>
      <c r="H389" s="3" t="s">
        <v>898</v>
      </c>
      <c r="I389" s="3"/>
      <c r="J389" s="3" t="s">
        <v>17</v>
      </c>
      <c r="K389" s="3">
        <v>79928</v>
      </c>
    </row>
    <row r="390" spans="1:11">
      <c r="A390" s="3" t="s">
        <v>899</v>
      </c>
      <c r="B390" s="3" t="s">
        <v>19</v>
      </c>
      <c r="C390" s="3" t="s">
        <v>113</v>
      </c>
      <c r="D390" s="3" t="s">
        <v>21</v>
      </c>
      <c r="E390" s="3" t="s">
        <v>87</v>
      </c>
      <c r="F390" s="3">
        <v>21</v>
      </c>
      <c r="G390" s="3" t="s">
        <v>16</v>
      </c>
      <c r="H390" s="3" t="s">
        <v>900</v>
      </c>
      <c r="I390" s="3"/>
      <c r="J390" s="3" t="s">
        <v>17</v>
      </c>
      <c r="K390" s="3">
        <v>33009</v>
      </c>
    </row>
    <row r="391" spans="1:11">
      <c r="A391" s="3" t="s">
        <v>901</v>
      </c>
      <c r="B391" s="3" t="s">
        <v>106</v>
      </c>
      <c r="C391" s="3" t="s">
        <v>59</v>
      </c>
      <c r="D391" s="3" t="s">
        <v>14</v>
      </c>
      <c r="E391" s="3" t="s">
        <v>15</v>
      </c>
      <c r="F391" s="3">
        <v>44</v>
      </c>
      <c r="G391" s="3" t="s">
        <v>16</v>
      </c>
      <c r="H391" s="3" t="s">
        <v>902</v>
      </c>
      <c r="I391" s="3"/>
      <c r="J391" s="3" t="s">
        <v>17</v>
      </c>
      <c r="K391" s="3">
        <v>59253</v>
      </c>
    </row>
    <row r="392" spans="1:11">
      <c r="A392" s="3" t="s">
        <v>903</v>
      </c>
      <c r="B392" s="3" t="s">
        <v>58</v>
      </c>
      <c r="C392" s="3" t="s">
        <v>13</v>
      </c>
      <c r="D392" s="3" t="s">
        <v>27</v>
      </c>
      <c r="E392" s="3" t="s">
        <v>122</v>
      </c>
      <c r="F392" s="3">
        <v>28</v>
      </c>
      <c r="G392" s="3" t="s">
        <v>16</v>
      </c>
      <c r="H392" s="3" t="s">
        <v>904</v>
      </c>
      <c r="I392" s="3"/>
      <c r="J392" s="3" t="s">
        <v>17</v>
      </c>
      <c r="K392" s="3">
        <v>29744</v>
      </c>
    </row>
    <row r="393" spans="1:11">
      <c r="A393" s="3" t="s">
        <v>905</v>
      </c>
      <c r="B393" s="3" t="s">
        <v>141</v>
      </c>
      <c r="C393" s="3" t="s">
        <v>26</v>
      </c>
      <c r="D393" s="3" t="s">
        <v>27</v>
      </c>
      <c r="E393" s="3" t="s">
        <v>54</v>
      </c>
      <c r="F393" s="3">
        <v>21</v>
      </c>
      <c r="G393" s="3" t="s">
        <v>16</v>
      </c>
      <c r="H393" s="3" t="s">
        <v>558</v>
      </c>
      <c r="I393" s="3"/>
      <c r="J393" s="3" t="s">
        <v>17</v>
      </c>
      <c r="K393" s="3">
        <v>25811</v>
      </c>
    </row>
    <row r="394" spans="1:11">
      <c r="A394" s="3" t="s">
        <v>906</v>
      </c>
      <c r="B394" s="3" t="s">
        <v>90</v>
      </c>
      <c r="C394" s="3" t="s">
        <v>213</v>
      </c>
      <c r="D394" s="3" t="s">
        <v>21</v>
      </c>
      <c r="E394" s="3" t="s">
        <v>22</v>
      </c>
      <c r="F394" s="3">
        <v>40</v>
      </c>
      <c r="G394" s="3" t="s">
        <v>16</v>
      </c>
      <c r="H394" s="3" t="s">
        <v>907</v>
      </c>
      <c r="I394" s="3" t="s">
        <v>908</v>
      </c>
      <c r="J394" s="3" t="s">
        <v>51</v>
      </c>
      <c r="K394" s="3">
        <v>33195</v>
      </c>
    </row>
    <row r="395" spans="1:11">
      <c r="A395" s="3" t="s">
        <v>909</v>
      </c>
      <c r="B395" s="3" t="s">
        <v>73</v>
      </c>
      <c r="C395" s="3" t="s">
        <v>59</v>
      </c>
      <c r="D395" s="3" t="s">
        <v>43</v>
      </c>
      <c r="E395" s="3" t="s">
        <v>70</v>
      </c>
      <c r="F395" s="3">
        <v>38</v>
      </c>
      <c r="G395" s="3" t="s">
        <v>23</v>
      </c>
      <c r="H395" s="3" t="s">
        <v>910</v>
      </c>
      <c r="I395" s="3"/>
      <c r="J395" s="3" t="s">
        <v>17</v>
      </c>
      <c r="K395" s="3">
        <v>46657</v>
      </c>
    </row>
    <row r="396" spans="1:11">
      <c r="A396" s="3" t="s">
        <v>911</v>
      </c>
      <c r="B396" s="3" t="s">
        <v>401</v>
      </c>
      <c r="C396" s="3" t="s">
        <v>83</v>
      </c>
      <c r="D396" s="3" t="s">
        <v>33</v>
      </c>
      <c r="E396" s="3" t="s">
        <v>79</v>
      </c>
      <c r="F396" s="3">
        <v>21</v>
      </c>
      <c r="G396" s="3" t="s">
        <v>16</v>
      </c>
      <c r="H396" s="3" t="s">
        <v>912</v>
      </c>
      <c r="I396" s="3" t="s">
        <v>913</v>
      </c>
      <c r="J396" s="3" t="s">
        <v>51</v>
      </c>
      <c r="K396" s="3">
        <v>38673</v>
      </c>
    </row>
    <row r="397" spans="1:11">
      <c r="A397" s="3" t="s">
        <v>914</v>
      </c>
      <c r="B397" s="3" t="s">
        <v>298</v>
      </c>
      <c r="C397" s="3" t="s">
        <v>20</v>
      </c>
      <c r="D397" s="3" t="s">
        <v>64</v>
      </c>
      <c r="E397" s="3" t="s">
        <v>266</v>
      </c>
      <c r="F397" s="3">
        <v>24</v>
      </c>
      <c r="G397" s="3" t="s">
        <v>16</v>
      </c>
      <c r="H397" s="3" t="s">
        <v>832</v>
      </c>
      <c r="I397" s="3"/>
      <c r="J397" s="3" t="s">
        <v>17</v>
      </c>
      <c r="K397" s="3">
        <v>62100</v>
      </c>
    </row>
    <row r="398" spans="1:11">
      <c r="A398" s="3" t="s">
        <v>915</v>
      </c>
      <c r="B398" s="3" t="s">
        <v>109</v>
      </c>
      <c r="C398" s="3" t="s">
        <v>103</v>
      </c>
      <c r="D398" s="3" t="s">
        <v>64</v>
      </c>
      <c r="E398" s="3" t="s">
        <v>65</v>
      </c>
      <c r="F398" s="3">
        <v>31</v>
      </c>
      <c r="G398" s="3" t="s">
        <v>16</v>
      </c>
      <c r="H398" s="3" t="s">
        <v>916</v>
      </c>
      <c r="I398" s="3"/>
      <c r="J398" s="3" t="s">
        <v>17</v>
      </c>
      <c r="K398" s="3">
        <v>72750</v>
      </c>
    </row>
    <row r="399" spans="1:11">
      <c r="A399" s="3" t="s">
        <v>917</v>
      </c>
      <c r="B399" s="3" t="s">
        <v>109</v>
      </c>
      <c r="C399" s="3" t="s">
        <v>83</v>
      </c>
      <c r="D399" s="3" t="s">
        <v>27</v>
      </c>
      <c r="E399" s="3" t="s">
        <v>28</v>
      </c>
      <c r="F399" s="3">
        <v>39</v>
      </c>
      <c r="G399" s="3" t="s">
        <v>16</v>
      </c>
      <c r="H399" s="3" t="s">
        <v>918</v>
      </c>
      <c r="I399" s="3"/>
      <c r="J399" s="3" t="s">
        <v>17</v>
      </c>
      <c r="K399" s="3">
        <v>30228</v>
      </c>
    </row>
    <row r="400" spans="1:11">
      <c r="A400" s="3" t="s">
        <v>919</v>
      </c>
      <c r="B400" s="3" t="s">
        <v>82</v>
      </c>
      <c r="C400" s="3" t="s">
        <v>20</v>
      </c>
      <c r="D400" s="3" t="s">
        <v>43</v>
      </c>
      <c r="E400" s="3" t="s">
        <v>44</v>
      </c>
      <c r="F400" s="3">
        <v>22</v>
      </c>
      <c r="G400" s="3" t="s">
        <v>16</v>
      </c>
      <c r="H400" s="3" t="s">
        <v>920</v>
      </c>
      <c r="I400" s="3"/>
      <c r="J400" s="3" t="s">
        <v>17</v>
      </c>
      <c r="K400" s="3">
        <v>25119</v>
      </c>
    </row>
    <row r="401" spans="1:11">
      <c r="A401" s="3" t="s">
        <v>921</v>
      </c>
      <c r="B401" s="3" t="s">
        <v>134</v>
      </c>
      <c r="C401" s="3" t="s">
        <v>177</v>
      </c>
      <c r="D401" s="3" t="s">
        <v>43</v>
      </c>
      <c r="E401" s="3" t="s">
        <v>44</v>
      </c>
      <c r="F401" s="3">
        <v>35</v>
      </c>
      <c r="G401" s="3" t="s">
        <v>23</v>
      </c>
      <c r="H401" s="3" t="s">
        <v>922</v>
      </c>
      <c r="I401" s="3" t="s">
        <v>923</v>
      </c>
      <c r="J401" s="3" t="s">
        <v>51</v>
      </c>
      <c r="K401" s="3">
        <v>44958</v>
      </c>
    </row>
    <row r="402" spans="1:11">
      <c r="A402" s="3" t="s">
        <v>924</v>
      </c>
      <c r="B402" s="3" t="s">
        <v>12</v>
      </c>
      <c r="C402" s="3" t="s">
        <v>20</v>
      </c>
      <c r="D402" s="3" t="s">
        <v>21</v>
      </c>
      <c r="E402" s="3" t="s">
        <v>22</v>
      </c>
      <c r="F402" s="3">
        <v>23</v>
      </c>
      <c r="G402" s="3" t="s">
        <v>16</v>
      </c>
      <c r="H402" s="3" t="s">
        <v>925</v>
      </c>
      <c r="I402" s="3"/>
      <c r="J402" s="3" t="s">
        <v>17</v>
      </c>
      <c r="K402" s="3">
        <v>77308</v>
      </c>
    </row>
    <row r="403" spans="1:11">
      <c r="A403" s="3" t="s">
        <v>926</v>
      </c>
      <c r="B403" s="3" t="s">
        <v>58</v>
      </c>
      <c r="C403" s="3" t="s">
        <v>205</v>
      </c>
      <c r="D403" s="3" t="s">
        <v>43</v>
      </c>
      <c r="E403" s="3" t="s">
        <v>44</v>
      </c>
      <c r="F403" s="3">
        <v>29</v>
      </c>
      <c r="G403" s="3" t="s">
        <v>23</v>
      </c>
      <c r="H403" s="3" t="s">
        <v>927</v>
      </c>
      <c r="I403" s="3"/>
      <c r="J403" s="3" t="s">
        <v>17</v>
      </c>
      <c r="K403" s="3">
        <v>87140</v>
      </c>
    </row>
    <row r="404" spans="1:11">
      <c r="A404" s="3" t="s">
        <v>928</v>
      </c>
      <c r="B404" s="3" t="s">
        <v>102</v>
      </c>
      <c r="C404" s="3" t="s">
        <v>249</v>
      </c>
      <c r="D404" s="3" t="s">
        <v>21</v>
      </c>
      <c r="E404" s="3" t="s">
        <v>87</v>
      </c>
      <c r="F404" s="3">
        <v>27</v>
      </c>
      <c r="G404" s="3" t="s">
        <v>16</v>
      </c>
      <c r="H404" s="3" t="s">
        <v>929</v>
      </c>
      <c r="I404" s="3"/>
      <c r="J404" s="3" t="s">
        <v>17</v>
      </c>
      <c r="K404" s="3">
        <v>21735</v>
      </c>
    </row>
    <row r="405" spans="1:11">
      <c r="A405" s="3" t="s">
        <v>930</v>
      </c>
      <c r="B405" s="3" t="s">
        <v>401</v>
      </c>
      <c r="C405" s="3" t="s">
        <v>94</v>
      </c>
      <c r="D405" s="3" t="s">
        <v>27</v>
      </c>
      <c r="E405" s="3" t="s">
        <v>28</v>
      </c>
      <c r="F405" s="3">
        <v>35</v>
      </c>
      <c r="G405" s="3" t="s">
        <v>16</v>
      </c>
      <c r="H405" s="3" t="s">
        <v>931</v>
      </c>
      <c r="I405" s="3"/>
      <c r="J405" s="3" t="s">
        <v>17</v>
      </c>
      <c r="K405" s="3">
        <v>57676</v>
      </c>
    </row>
    <row r="406" spans="1:11">
      <c r="A406" s="3" t="s">
        <v>932</v>
      </c>
      <c r="B406" s="3" t="s">
        <v>73</v>
      </c>
      <c r="C406" s="3" t="s">
        <v>13</v>
      </c>
      <c r="D406" s="3" t="s">
        <v>27</v>
      </c>
      <c r="E406" s="3" t="s">
        <v>54</v>
      </c>
      <c r="F406" s="3">
        <v>36</v>
      </c>
      <c r="G406" s="3" t="s">
        <v>23</v>
      </c>
      <c r="H406" s="3" t="s">
        <v>933</v>
      </c>
      <c r="I406" s="3"/>
      <c r="J406" s="3" t="s">
        <v>17</v>
      </c>
      <c r="K406" s="3">
        <v>54403</v>
      </c>
    </row>
    <row r="407" spans="1:11">
      <c r="A407" s="3" t="s">
        <v>934</v>
      </c>
      <c r="B407" s="3" t="s">
        <v>141</v>
      </c>
      <c r="C407" s="3" t="s">
        <v>63</v>
      </c>
      <c r="D407" s="3" t="s">
        <v>43</v>
      </c>
      <c r="E407" s="3" t="s">
        <v>70</v>
      </c>
      <c r="F407" s="3">
        <v>39</v>
      </c>
      <c r="G407" s="3" t="s">
        <v>16</v>
      </c>
      <c r="H407" s="3" t="s">
        <v>935</v>
      </c>
      <c r="I407" s="3"/>
      <c r="J407" s="3" t="s">
        <v>17</v>
      </c>
      <c r="K407" s="3">
        <v>44339</v>
      </c>
    </row>
    <row r="408" spans="1:11">
      <c r="A408" s="3" t="s">
        <v>936</v>
      </c>
      <c r="B408" s="3" t="s">
        <v>112</v>
      </c>
      <c r="C408" s="3" t="s">
        <v>169</v>
      </c>
      <c r="D408" s="3" t="s">
        <v>43</v>
      </c>
      <c r="E408" s="3" t="s">
        <v>48</v>
      </c>
      <c r="F408" s="3">
        <v>36</v>
      </c>
      <c r="G408" s="3" t="s">
        <v>23</v>
      </c>
      <c r="H408" s="3" t="s">
        <v>937</v>
      </c>
      <c r="I408" s="3"/>
      <c r="J408" s="3" t="s">
        <v>17</v>
      </c>
      <c r="K408" s="3">
        <v>45822</v>
      </c>
    </row>
    <row r="409" spans="1:11">
      <c r="A409" s="3" t="s">
        <v>938</v>
      </c>
      <c r="B409" s="3" t="s">
        <v>98</v>
      </c>
      <c r="C409" s="3" t="s">
        <v>26</v>
      </c>
      <c r="D409" s="3" t="s">
        <v>21</v>
      </c>
      <c r="E409" s="3" t="s">
        <v>95</v>
      </c>
      <c r="F409" s="3">
        <v>38</v>
      </c>
      <c r="G409" s="3" t="s">
        <v>23</v>
      </c>
      <c r="H409" s="3" t="s">
        <v>939</v>
      </c>
      <c r="I409" s="3" t="s">
        <v>348</v>
      </c>
      <c r="J409" s="3" t="s">
        <v>51</v>
      </c>
      <c r="K409" s="3">
        <v>70037</v>
      </c>
    </row>
    <row r="410" spans="1:11">
      <c r="A410" s="3" t="s">
        <v>940</v>
      </c>
      <c r="B410" s="3" t="s">
        <v>106</v>
      </c>
      <c r="C410" s="3" t="s">
        <v>249</v>
      </c>
      <c r="D410" s="3" t="s">
        <v>27</v>
      </c>
      <c r="E410" s="3" t="s">
        <v>54</v>
      </c>
      <c r="F410" s="3">
        <v>29</v>
      </c>
      <c r="G410" s="3" t="s">
        <v>16</v>
      </c>
      <c r="H410" s="3" t="s">
        <v>941</v>
      </c>
      <c r="I410" s="3"/>
      <c r="J410" s="3" t="s">
        <v>17</v>
      </c>
      <c r="K410" s="3">
        <v>18000</v>
      </c>
    </row>
    <row r="411" spans="1:11">
      <c r="A411" s="3" t="s">
        <v>942</v>
      </c>
      <c r="B411" s="3" t="s">
        <v>102</v>
      </c>
      <c r="C411" s="3" t="s">
        <v>174</v>
      </c>
      <c r="D411" s="3" t="s">
        <v>33</v>
      </c>
      <c r="E411" s="3" t="s">
        <v>79</v>
      </c>
      <c r="F411" s="3">
        <v>37</v>
      </c>
      <c r="G411" s="3" t="s">
        <v>16</v>
      </c>
      <c r="H411" s="3" t="s">
        <v>943</v>
      </c>
      <c r="I411" s="3"/>
      <c r="J411" s="3" t="s">
        <v>17</v>
      </c>
      <c r="K411" s="3">
        <v>62128</v>
      </c>
    </row>
    <row r="412" spans="1:11">
      <c r="A412" s="3" t="s">
        <v>944</v>
      </c>
      <c r="B412" s="3" t="s">
        <v>68</v>
      </c>
      <c r="C412" s="3" t="s">
        <v>13</v>
      </c>
      <c r="D412" s="3" t="s">
        <v>33</v>
      </c>
      <c r="E412" s="3" t="s">
        <v>34</v>
      </c>
      <c r="F412" s="3">
        <v>28</v>
      </c>
      <c r="G412" s="3" t="s">
        <v>16</v>
      </c>
      <c r="H412" s="3" t="s">
        <v>945</v>
      </c>
      <c r="I412" s="3"/>
      <c r="J412" s="3" t="s">
        <v>17</v>
      </c>
      <c r="K412" s="3">
        <v>53676</v>
      </c>
    </row>
    <row r="413" spans="1:11">
      <c r="A413" s="3" t="s">
        <v>946</v>
      </c>
      <c r="B413" s="3" t="s">
        <v>298</v>
      </c>
      <c r="C413" s="3" t="s">
        <v>63</v>
      </c>
      <c r="D413" s="3" t="s">
        <v>27</v>
      </c>
      <c r="E413" s="3" t="s">
        <v>54</v>
      </c>
      <c r="F413" s="3">
        <v>30</v>
      </c>
      <c r="G413" s="3" t="s">
        <v>23</v>
      </c>
      <c r="H413" s="3" t="s">
        <v>947</v>
      </c>
      <c r="I413" s="3"/>
      <c r="J413" s="3" t="s">
        <v>17</v>
      </c>
      <c r="K413" s="3">
        <v>45996</v>
      </c>
    </row>
    <row r="414" spans="1:11">
      <c r="A414" s="3" t="s">
        <v>948</v>
      </c>
      <c r="B414" s="3" t="s">
        <v>106</v>
      </c>
      <c r="C414" s="3" t="s">
        <v>59</v>
      </c>
      <c r="D414" s="3" t="s">
        <v>64</v>
      </c>
      <c r="E414" s="3" t="s">
        <v>161</v>
      </c>
      <c r="F414" s="3">
        <v>29</v>
      </c>
      <c r="G414" s="3" t="s">
        <v>23</v>
      </c>
      <c r="H414" s="3" t="s">
        <v>949</v>
      </c>
      <c r="I414" s="3"/>
      <c r="J414" s="3" t="s">
        <v>17</v>
      </c>
      <c r="K414" s="3">
        <v>18000</v>
      </c>
    </row>
    <row r="415" spans="1:11">
      <c r="A415" s="3" t="s">
        <v>950</v>
      </c>
      <c r="B415" s="3" t="s">
        <v>401</v>
      </c>
      <c r="C415" s="3" t="s">
        <v>53</v>
      </c>
      <c r="D415" s="3" t="s">
        <v>43</v>
      </c>
      <c r="E415" s="3" t="s">
        <v>70</v>
      </c>
      <c r="F415" s="3">
        <v>37</v>
      </c>
      <c r="G415" s="3" t="s">
        <v>16</v>
      </c>
      <c r="H415" s="3" t="s">
        <v>951</v>
      </c>
      <c r="I415" s="3"/>
      <c r="J415" s="3" t="s">
        <v>17</v>
      </c>
      <c r="K415" s="3">
        <v>107628</v>
      </c>
    </row>
    <row r="416" spans="1:11">
      <c r="A416" s="3" t="s">
        <v>952</v>
      </c>
      <c r="B416" s="3" t="s">
        <v>160</v>
      </c>
      <c r="C416" s="3" t="s">
        <v>169</v>
      </c>
      <c r="D416" s="3" t="s">
        <v>27</v>
      </c>
      <c r="E416" s="3" t="s">
        <v>54</v>
      </c>
      <c r="F416" s="3">
        <v>35</v>
      </c>
      <c r="G416" s="3" t="s">
        <v>16</v>
      </c>
      <c r="H416" s="3" t="s">
        <v>953</v>
      </c>
      <c r="I416" s="3"/>
      <c r="J416" s="3" t="s">
        <v>17</v>
      </c>
      <c r="K416" s="3">
        <v>79562</v>
      </c>
    </row>
    <row r="417" spans="1:11">
      <c r="A417" s="3" t="s">
        <v>954</v>
      </c>
      <c r="B417" s="3" t="s">
        <v>109</v>
      </c>
      <c r="C417" s="3" t="s">
        <v>13</v>
      </c>
      <c r="D417" s="3" t="s">
        <v>21</v>
      </c>
      <c r="E417" s="3" t="s">
        <v>87</v>
      </c>
      <c r="F417" s="3">
        <v>30</v>
      </c>
      <c r="G417" s="3" t="s">
        <v>16</v>
      </c>
      <c r="H417" s="3" t="s">
        <v>955</v>
      </c>
      <c r="I417" s="3"/>
      <c r="J417" s="3" t="s">
        <v>17</v>
      </c>
      <c r="K417" s="3">
        <v>57440</v>
      </c>
    </row>
    <row r="418" spans="1:11">
      <c r="A418" s="3" t="s">
        <v>956</v>
      </c>
      <c r="B418" s="3" t="s">
        <v>82</v>
      </c>
      <c r="C418" s="3" t="s">
        <v>20</v>
      </c>
      <c r="D418" s="3" t="s">
        <v>33</v>
      </c>
      <c r="E418" s="3" t="s">
        <v>79</v>
      </c>
      <c r="F418" s="3">
        <v>35</v>
      </c>
      <c r="G418" s="3" t="s">
        <v>16</v>
      </c>
      <c r="H418" s="3" t="s">
        <v>957</v>
      </c>
      <c r="I418" s="3"/>
      <c r="J418" s="3" t="s">
        <v>17</v>
      </c>
      <c r="K418" s="3">
        <v>46556</v>
      </c>
    </row>
    <row r="419" spans="1:11">
      <c r="A419" s="3" t="s">
        <v>958</v>
      </c>
      <c r="B419" s="3" t="s">
        <v>125</v>
      </c>
      <c r="C419" s="3" t="s">
        <v>249</v>
      </c>
      <c r="D419" s="3" t="s">
        <v>33</v>
      </c>
      <c r="E419" s="3" t="s">
        <v>79</v>
      </c>
      <c r="F419" s="3">
        <v>29</v>
      </c>
      <c r="G419" s="3" t="s">
        <v>16</v>
      </c>
      <c r="H419" s="3" t="s">
        <v>959</v>
      </c>
      <c r="I419" s="3"/>
      <c r="J419" s="3" t="s">
        <v>17</v>
      </c>
      <c r="K419" s="3">
        <v>87697</v>
      </c>
    </row>
    <row r="420" spans="1:11">
      <c r="A420" s="3" t="s">
        <v>960</v>
      </c>
      <c r="B420" s="3" t="s">
        <v>134</v>
      </c>
      <c r="C420" s="3" t="s">
        <v>146</v>
      </c>
      <c r="D420" s="3" t="s">
        <v>43</v>
      </c>
      <c r="E420" s="3" t="s">
        <v>48</v>
      </c>
      <c r="F420" s="3">
        <v>25</v>
      </c>
      <c r="G420" s="3" t="s">
        <v>16</v>
      </c>
      <c r="H420" s="3" t="s">
        <v>961</v>
      </c>
      <c r="I420" s="3"/>
      <c r="J420" s="3" t="s">
        <v>17</v>
      </c>
      <c r="K420" s="3">
        <v>37036</v>
      </c>
    </row>
    <row r="421" spans="1:11">
      <c r="A421" s="3" t="s">
        <v>962</v>
      </c>
      <c r="B421" s="3" t="s">
        <v>125</v>
      </c>
      <c r="C421" s="3" t="s">
        <v>74</v>
      </c>
      <c r="D421" s="3" t="s">
        <v>14</v>
      </c>
      <c r="E421" s="3" t="s">
        <v>15</v>
      </c>
      <c r="F421" s="3">
        <v>27</v>
      </c>
      <c r="G421" s="3" t="s">
        <v>23</v>
      </c>
      <c r="H421" s="3" t="s">
        <v>963</v>
      </c>
      <c r="I421" s="3"/>
      <c r="J421" s="3" t="s">
        <v>17</v>
      </c>
      <c r="K421" s="3">
        <v>44571</v>
      </c>
    </row>
    <row r="422" spans="1:11">
      <c r="A422" s="3" t="s">
        <v>964</v>
      </c>
      <c r="B422" s="3" t="s">
        <v>41</v>
      </c>
      <c r="C422" s="3" t="s">
        <v>213</v>
      </c>
      <c r="D422" s="3" t="s">
        <v>21</v>
      </c>
      <c r="E422" s="3" t="s">
        <v>22</v>
      </c>
      <c r="F422" s="3">
        <v>21</v>
      </c>
      <c r="G422" s="3" t="s">
        <v>16</v>
      </c>
      <c r="H422" s="3" t="s">
        <v>965</v>
      </c>
      <c r="I422" s="3"/>
      <c r="J422" s="3" t="s">
        <v>17</v>
      </c>
      <c r="K422" s="3">
        <v>18000</v>
      </c>
    </row>
    <row r="423" spans="1:11">
      <c r="A423" s="3" t="s">
        <v>966</v>
      </c>
      <c r="B423" s="3" t="s">
        <v>98</v>
      </c>
      <c r="C423" s="3" t="s">
        <v>113</v>
      </c>
      <c r="D423" s="3" t="s">
        <v>27</v>
      </c>
      <c r="E423" s="3" t="s">
        <v>122</v>
      </c>
      <c r="F423" s="3">
        <v>22</v>
      </c>
      <c r="G423" s="3" t="s">
        <v>16</v>
      </c>
      <c r="H423" s="3" t="s">
        <v>967</v>
      </c>
      <c r="I423" s="3"/>
      <c r="J423" s="3" t="s">
        <v>17</v>
      </c>
      <c r="K423" s="3">
        <v>57906</v>
      </c>
    </row>
    <row r="424" spans="1:11">
      <c r="A424" s="3" t="s">
        <v>968</v>
      </c>
      <c r="B424" s="3" t="s">
        <v>263</v>
      </c>
      <c r="C424" s="3" t="s">
        <v>26</v>
      </c>
      <c r="D424" s="3" t="s">
        <v>27</v>
      </c>
      <c r="E424" s="3" t="s">
        <v>28</v>
      </c>
      <c r="F424" s="3">
        <v>39</v>
      </c>
      <c r="G424" s="3" t="s">
        <v>23</v>
      </c>
      <c r="H424" s="3" t="s">
        <v>969</v>
      </c>
      <c r="I424" s="3"/>
      <c r="J424" s="3" t="s">
        <v>17</v>
      </c>
      <c r="K424" s="3">
        <v>37281</v>
      </c>
    </row>
    <row r="425" spans="1:11">
      <c r="A425" s="3" t="s">
        <v>970</v>
      </c>
      <c r="B425" s="3" t="s">
        <v>121</v>
      </c>
      <c r="C425" s="3" t="s">
        <v>164</v>
      </c>
      <c r="D425" s="3" t="s">
        <v>27</v>
      </c>
      <c r="E425" s="3" t="s">
        <v>122</v>
      </c>
      <c r="F425" s="3">
        <v>31</v>
      </c>
      <c r="G425" s="3" t="s">
        <v>16</v>
      </c>
      <c r="H425" s="3" t="s">
        <v>971</v>
      </c>
      <c r="I425" s="3"/>
      <c r="J425" s="3" t="s">
        <v>17</v>
      </c>
      <c r="K425" s="3">
        <v>51348</v>
      </c>
    </row>
    <row r="426" spans="1:11">
      <c r="A426" s="3" t="s">
        <v>972</v>
      </c>
      <c r="B426" s="3" t="s">
        <v>19</v>
      </c>
      <c r="C426" s="3" t="s">
        <v>53</v>
      </c>
      <c r="D426" s="3" t="s">
        <v>27</v>
      </c>
      <c r="E426" s="3" t="s">
        <v>122</v>
      </c>
      <c r="F426" s="3">
        <v>33</v>
      </c>
      <c r="G426" s="3" t="s">
        <v>16</v>
      </c>
      <c r="H426" s="3" t="s">
        <v>973</v>
      </c>
      <c r="I426" s="3"/>
      <c r="J426" s="3" t="s">
        <v>17</v>
      </c>
      <c r="K426" s="3">
        <v>70773</v>
      </c>
    </row>
    <row r="427" spans="1:11">
      <c r="A427" s="3" t="s">
        <v>974</v>
      </c>
      <c r="B427" s="3" t="s">
        <v>90</v>
      </c>
      <c r="C427" s="3" t="s">
        <v>135</v>
      </c>
      <c r="D427" s="3" t="s">
        <v>33</v>
      </c>
      <c r="E427" s="3" t="s">
        <v>79</v>
      </c>
      <c r="F427" s="3">
        <v>28</v>
      </c>
      <c r="G427" s="3" t="s">
        <v>16</v>
      </c>
      <c r="H427" s="3" t="s">
        <v>793</v>
      </c>
      <c r="I427" s="3"/>
      <c r="J427" s="3" t="s">
        <v>17</v>
      </c>
      <c r="K427" s="3">
        <v>34727</v>
      </c>
    </row>
    <row r="428" spans="1:11">
      <c r="A428" s="3" t="s">
        <v>975</v>
      </c>
      <c r="B428" s="3" t="s">
        <v>263</v>
      </c>
      <c r="C428" s="3" t="s">
        <v>42</v>
      </c>
      <c r="D428" s="3" t="s">
        <v>43</v>
      </c>
      <c r="E428" s="3" t="s">
        <v>48</v>
      </c>
      <c r="F428" s="3">
        <v>37</v>
      </c>
      <c r="G428" s="3" t="s">
        <v>23</v>
      </c>
      <c r="H428" s="3" t="s">
        <v>976</v>
      </c>
      <c r="I428" s="3"/>
      <c r="J428" s="3" t="s">
        <v>17</v>
      </c>
      <c r="K428" s="3">
        <v>69515</v>
      </c>
    </row>
    <row r="429" spans="1:11">
      <c r="A429" s="3" t="s">
        <v>977</v>
      </c>
      <c r="B429" s="3" t="s">
        <v>106</v>
      </c>
      <c r="C429" s="3" t="s">
        <v>205</v>
      </c>
      <c r="D429" s="3" t="s">
        <v>64</v>
      </c>
      <c r="E429" s="3" t="s">
        <v>266</v>
      </c>
      <c r="F429" s="3">
        <v>28</v>
      </c>
      <c r="G429" s="3" t="s">
        <v>23</v>
      </c>
      <c r="H429" s="3" t="s">
        <v>978</v>
      </c>
      <c r="I429" s="3"/>
      <c r="J429" s="3" t="s">
        <v>17</v>
      </c>
      <c r="K429" s="3">
        <v>90208</v>
      </c>
    </row>
    <row r="430" spans="1:11">
      <c r="A430" s="3" t="s">
        <v>979</v>
      </c>
      <c r="B430" s="3" t="s">
        <v>298</v>
      </c>
      <c r="C430" s="3" t="s">
        <v>113</v>
      </c>
      <c r="D430" s="3" t="s">
        <v>33</v>
      </c>
      <c r="E430" s="3" t="s">
        <v>79</v>
      </c>
      <c r="F430" s="3">
        <v>33</v>
      </c>
      <c r="G430" s="3" t="s">
        <v>16</v>
      </c>
      <c r="H430" s="3" t="s">
        <v>980</v>
      </c>
      <c r="I430" s="3"/>
      <c r="J430" s="3" t="s">
        <v>17</v>
      </c>
      <c r="K430" s="3">
        <v>85180</v>
      </c>
    </row>
    <row r="431" spans="1:11">
      <c r="A431" s="3" t="s">
        <v>981</v>
      </c>
      <c r="B431" s="3" t="s">
        <v>160</v>
      </c>
      <c r="C431" s="3" t="s">
        <v>38</v>
      </c>
      <c r="D431" s="3" t="s">
        <v>27</v>
      </c>
      <c r="E431" s="3" t="s">
        <v>28</v>
      </c>
      <c r="F431" s="3">
        <v>27</v>
      </c>
      <c r="G431" s="3" t="s">
        <v>16</v>
      </c>
      <c r="H431" s="3" t="s">
        <v>982</v>
      </c>
      <c r="I431" s="3"/>
      <c r="J431" s="3" t="s">
        <v>17</v>
      </c>
      <c r="K431" s="3">
        <v>48386</v>
      </c>
    </row>
    <row r="432" spans="1:11">
      <c r="A432" s="3" t="s">
        <v>983</v>
      </c>
      <c r="B432" s="3" t="s">
        <v>152</v>
      </c>
      <c r="C432" s="3" t="s">
        <v>63</v>
      </c>
      <c r="D432" s="3" t="s">
        <v>21</v>
      </c>
      <c r="E432" s="3" t="s">
        <v>22</v>
      </c>
      <c r="F432" s="3">
        <v>32</v>
      </c>
      <c r="G432" s="3" t="s">
        <v>16</v>
      </c>
      <c r="H432" s="3" t="s">
        <v>984</v>
      </c>
      <c r="I432" s="3"/>
      <c r="J432" s="3" t="s">
        <v>17</v>
      </c>
      <c r="K432" s="3">
        <v>61932</v>
      </c>
    </row>
    <row r="433" spans="1:11">
      <c r="A433" s="3" t="s">
        <v>985</v>
      </c>
      <c r="B433" s="3" t="s">
        <v>12</v>
      </c>
      <c r="C433" s="3" t="s">
        <v>38</v>
      </c>
      <c r="D433" s="3" t="s">
        <v>33</v>
      </c>
      <c r="E433" s="3" t="s">
        <v>34</v>
      </c>
      <c r="F433" s="3">
        <v>42</v>
      </c>
      <c r="G433" s="3" t="s">
        <v>16</v>
      </c>
      <c r="H433" s="3" t="s">
        <v>986</v>
      </c>
      <c r="I433" s="3"/>
      <c r="J433" s="3" t="s">
        <v>17</v>
      </c>
      <c r="K433" s="3">
        <v>29152</v>
      </c>
    </row>
    <row r="434" spans="1:11">
      <c r="A434" s="3" t="s">
        <v>987</v>
      </c>
      <c r="B434" s="3" t="s">
        <v>62</v>
      </c>
      <c r="C434" s="3" t="s">
        <v>146</v>
      </c>
      <c r="D434" s="3" t="s">
        <v>99</v>
      </c>
      <c r="E434" s="3" t="s">
        <v>79</v>
      </c>
      <c r="F434" s="3">
        <v>41</v>
      </c>
      <c r="G434" s="3" t="s">
        <v>16</v>
      </c>
      <c r="H434" s="3" t="s">
        <v>988</v>
      </c>
      <c r="I434" s="3"/>
      <c r="J434" s="3" t="s">
        <v>17</v>
      </c>
      <c r="K434" s="3">
        <v>40261</v>
      </c>
    </row>
    <row r="435" spans="1:11">
      <c r="A435" s="3" t="s">
        <v>989</v>
      </c>
      <c r="B435" s="3" t="s">
        <v>186</v>
      </c>
      <c r="C435" s="3" t="s">
        <v>177</v>
      </c>
      <c r="D435" s="3" t="s">
        <v>21</v>
      </c>
      <c r="E435" s="3" t="s">
        <v>87</v>
      </c>
      <c r="F435" s="3">
        <v>43</v>
      </c>
      <c r="G435" s="3" t="s">
        <v>16</v>
      </c>
      <c r="H435" s="3" t="s">
        <v>990</v>
      </c>
      <c r="I435" s="3" t="s">
        <v>991</v>
      </c>
      <c r="J435" s="3" t="s">
        <v>51</v>
      </c>
      <c r="K435" s="3">
        <v>46498</v>
      </c>
    </row>
    <row r="436" spans="1:11">
      <c r="A436" s="3" t="s">
        <v>992</v>
      </c>
      <c r="B436" s="3" t="s">
        <v>106</v>
      </c>
      <c r="C436" s="3" t="s">
        <v>213</v>
      </c>
      <c r="D436" s="3" t="s">
        <v>27</v>
      </c>
      <c r="E436" s="3" t="s">
        <v>54</v>
      </c>
      <c r="F436" s="3">
        <v>22</v>
      </c>
      <c r="G436" s="3" t="s">
        <v>23</v>
      </c>
      <c r="H436" s="3" t="s">
        <v>993</v>
      </c>
      <c r="I436" s="3"/>
      <c r="J436" s="3" t="s">
        <v>17</v>
      </c>
      <c r="K436" s="3">
        <v>64668</v>
      </c>
    </row>
    <row r="437" spans="1:11">
      <c r="A437" s="3" t="s">
        <v>994</v>
      </c>
      <c r="B437" s="3" t="s">
        <v>19</v>
      </c>
      <c r="C437" s="3" t="s">
        <v>213</v>
      </c>
      <c r="D437" s="3" t="s">
        <v>43</v>
      </c>
      <c r="E437" s="3" t="s">
        <v>48</v>
      </c>
      <c r="F437" s="3">
        <v>43</v>
      </c>
      <c r="G437" s="3" t="s">
        <v>23</v>
      </c>
      <c r="H437" s="3" t="s">
        <v>598</v>
      </c>
      <c r="I437" s="3"/>
      <c r="J437" s="3" t="s">
        <v>17</v>
      </c>
      <c r="K437" s="3">
        <v>72640</v>
      </c>
    </row>
    <row r="438" spans="1:11">
      <c r="A438" s="3" t="s">
        <v>995</v>
      </c>
      <c r="B438" s="3" t="s">
        <v>86</v>
      </c>
      <c r="C438" s="3" t="s">
        <v>38</v>
      </c>
      <c r="D438" s="3" t="s">
        <v>21</v>
      </c>
      <c r="E438" s="3" t="s">
        <v>155</v>
      </c>
      <c r="F438" s="3">
        <v>28</v>
      </c>
      <c r="G438" s="3" t="s">
        <v>16</v>
      </c>
      <c r="H438" s="3" t="s">
        <v>996</v>
      </c>
      <c r="I438" s="3"/>
      <c r="J438" s="3" t="s">
        <v>17</v>
      </c>
      <c r="K438" s="3">
        <v>76533</v>
      </c>
    </row>
    <row r="439" spans="1:11">
      <c r="A439" s="3" t="s">
        <v>997</v>
      </c>
      <c r="B439" s="3" t="s">
        <v>19</v>
      </c>
      <c r="C439" s="3" t="s">
        <v>135</v>
      </c>
      <c r="D439" s="3" t="s">
        <v>14</v>
      </c>
      <c r="E439" s="3" t="s">
        <v>15</v>
      </c>
      <c r="F439" s="3">
        <v>44</v>
      </c>
      <c r="G439" s="3" t="s">
        <v>23</v>
      </c>
      <c r="H439" s="3" t="s">
        <v>998</v>
      </c>
      <c r="I439" s="3"/>
      <c r="J439" s="3" t="s">
        <v>17</v>
      </c>
      <c r="K439" s="3">
        <v>67747</v>
      </c>
    </row>
    <row r="440" spans="1:11">
      <c r="A440" s="3" t="s">
        <v>999</v>
      </c>
      <c r="B440" s="3" t="s">
        <v>216</v>
      </c>
      <c r="C440" s="3" t="s">
        <v>63</v>
      </c>
      <c r="D440" s="3" t="s">
        <v>43</v>
      </c>
      <c r="E440" s="3" t="s">
        <v>70</v>
      </c>
      <c r="F440" s="3">
        <v>29</v>
      </c>
      <c r="G440" s="3" t="s">
        <v>23</v>
      </c>
      <c r="H440" s="3" t="s">
        <v>1000</v>
      </c>
      <c r="I440" s="3"/>
      <c r="J440" s="3" t="s">
        <v>17</v>
      </c>
      <c r="K440" s="3">
        <v>87152</v>
      </c>
    </row>
    <row r="441" spans="1:11">
      <c r="A441" s="3" t="s">
        <v>1001</v>
      </c>
      <c r="B441" s="3" t="s">
        <v>186</v>
      </c>
      <c r="C441" s="3" t="s">
        <v>164</v>
      </c>
      <c r="D441" s="3" t="s">
        <v>43</v>
      </c>
      <c r="E441" s="3" t="s">
        <v>70</v>
      </c>
      <c r="F441" s="3">
        <v>32</v>
      </c>
      <c r="G441" s="3" t="s">
        <v>23</v>
      </c>
      <c r="H441" s="3" t="s">
        <v>1002</v>
      </c>
      <c r="I441" s="3"/>
      <c r="J441" s="3" t="s">
        <v>17</v>
      </c>
      <c r="K441" s="3">
        <v>42059</v>
      </c>
    </row>
    <row r="442" spans="1:11">
      <c r="A442" s="3" t="s">
        <v>1003</v>
      </c>
      <c r="B442" s="3" t="s">
        <v>186</v>
      </c>
      <c r="C442" s="3" t="s">
        <v>177</v>
      </c>
      <c r="D442" s="3" t="s">
        <v>21</v>
      </c>
      <c r="E442" s="3" t="s">
        <v>87</v>
      </c>
      <c r="F442" s="3">
        <v>32</v>
      </c>
      <c r="G442" s="3" t="s">
        <v>16</v>
      </c>
      <c r="H442" s="3" t="s">
        <v>1004</v>
      </c>
      <c r="I442" s="3"/>
      <c r="J442" s="3" t="s">
        <v>17</v>
      </c>
      <c r="K442" s="3">
        <v>67319</v>
      </c>
    </row>
    <row r="443" spans="1:11">
      <c r="A443" s="3" t="s">
        <v>1005</v>
      </c>
      <c r="B443" s="3" t="s">
        <v>141</v>
      </c>
      <c r="C443" s="3" t="s">
        <v>129</v>
      </c>
      <c r="D443" s="3" t="s">
        <v>43</v>
      </c>
      <c r="E443" s="3" t="s">
        <v>48</v>
      </c>
      <c r="F443" s="3">
        <v>41</v>
      </c>
      <c r="G443" s="3" t="s">
        <v>16</v>
      </c>
      <c r="H443" s="3" t="s">
        <v>1006</v>
      </c>
      <c r="I443" s="3"/>
      <c r="J443" s="3" t="s">
        <v>17</v>
      </c>
      <c r="K443" s="3">
        <v>65439</v>
      </c>
    </row>
    <row r="444" spans="1:11">
      <c r="A444" s="3" t="s">
        <v>1007</v>
      </c>
      <c r="B444" s="3" t="s">
        <v>263</v>
      </c>
      <c r="C444" s="3" t="s">
        <v>42</v>
      </c>
      <c r="D444" s="3" t="s">
        <v>33</v>
      </c>
      <c r="E444" s="3" t="s">
        <v>79</v>
      </c>
      <c r="F444" s="3">
        <v>38</v>
      </c>
      <c r="G444" s="3" t="s">
        <v>23</v>
      </c>
      <c r="H444" s="3" t="s">
        <v>712</v>
      </c>
      <c r="I444" s="3"/>
      <c r="J444" s="3" t="s">
        <v>17</v>
      </c>
      <c r="K444" s="3">
        <v>74246</v>
      </c>
    </row>
    <row r="445" spans="1:11">
      <c r="A445" s="3" t="s">
        <v>1008</v>
      </c>
      <c r="B445" s="3" t="s">
        <v>298</v>
      </c>
      <c r="C445" s="3" t="s">
        <v>20</v>
      </c>
      <c r="D445" s="3" t="s">
        <v>239</v>
      </c>
      <c r="E445" s="3" t="s">
        <v>28</v>
      </c>
      <c r="F445" s="3">
        <v>34</v>
      </c>
      <c r="G445" s="3" t="s">
        <v>23</v>
      </c>
      <c r="H445" s="3" t="s">
        <v>1009</v>
      </c>
      <c r="I445" s="3" t="s">
        <v>1010</v>
      </c>
      <c r="J445" s="3" t="s">
        <v>51</v>
      </c>
      <c r="K445" s="3">
        <v>18000</v>
      </c>
    </row>
    <row r="446" spans="1:11">
      <c r="A446" s="3" t="s">
        <v>1011</v>
      </c>
      <c r="B446" s="3" t="s">
        <v>288</v>
      </c>
      <c r="C446" s="3" t="s">
        <v>169</v>
      </c>
      <c r="D446" s="3" t="s">
        <v>14</v>
      </c>
      <c r="E446" s="3" t="s">
        <v>15</v>
      </c>
      <c r="F446" s="3">
        <v>21</v>
      </c>
      <c r="G446" s="3" t="s">
        <v>16</v>
      </c>
      <c r="H446" s="3" t="s">
        <v>1012</v>
      </c>
      <c r="I446" s="3"/>
      <c r="J446" s="3" t="s">
        <v>17</v>
      </c>
      <c r="K446" s="3">
        <v>55651</v>
      </c>
    </row>
    <row r="447" spans="1:11">
      <c r="A447" s="3" t="s">
        <v>1013</v>
      </c>
      <c r="B447" s="3" t="s">
        <v>31</v>
      </c>
      <c r="C447" s="3" t="s">
        <v>83</v>
      </c>
      <c r="D447" s="3" t="s">
        <v>27</v>
      </c>
      <c r="E447" s="3" t="s">
        <v>54</v>
      </c>
      <c r="F447" s="3">
        <v>34</v>
      </c>
      <c r="G447" s="3" t="s">
        <v>16</v>
      </c>
      <c r="H447" s="3" t="s">
        <v>1014</v>
      </c>
      <c r="I447" s="3"/>
      <c r="J447" s="3" t="s">
        <v>17</v>
      </c>
      <c r="K447" s="3">
        <v>73261</v>
      </c>
    </row>
    <row r="448" spans="1:11">
      <c r="A448" s="3" t="s">
        <v>1015</v>
      </c>
      <c r="B448" s="3" t="s">
        <v>25</v>
      </c>
      <c r="C448" s="3" t="s">
        <v>164</v>
      </c>
      <c r="D448" s="3" t="s">
        <v>27</v>
      </c>
      <c r="E448" s="3" t="s">
        <v>28</v>
      </c>
      <c r="F448" s="3">
        <v>36</v>
      </c>
      <c r="G448" s="3" t="s">
        <v>16</v>
      </c>
      <c r="H448" s="3" t="s">
        <v>1016</v>
      </c>
      <c r="I448" s="3"/>
      <c r="J448" s="3" t="s">
        <v>17</v>
      </c>
      <c r="K448" s="3">
        <v>59227</v>
      </c>
    </row>
    <row r="449" spans="1:11">
      <c r="A449" s="3" t="s">
        <v>1017</v>
      </c>
      <c r="B449" s="3" t="s">
        <v>109</v>
      </c>
      <c r="C449" s="3" t="s">
        <v>20</v>
      </c>
      <c r="D449" s="3" t="s">
        <v>43</v>
      </c>
      <c r="E449" s="3" t="s">
        <v>44</v>
      </c>
      <c r="F449" s="3">
        <v>38</v>
      </c>
      <c r="G449" s="3" t="s">
        <v>23</v>
      </c>
      <c r="H449" s="3" t="s">
        <v>190</v>
      </c>
      <c r="I449" s="3"/>
      <c r="J449" s="3" t="s">
        <v>17</v>
      </c>
      <c r="K449" s="3">
        <v>40186</v>
      </c>
    </row>
    <row r="450" spans="1:11">
      <c r="A450" s="3" t="s">
        <v>1018</v>
      </c>
      <c r="B450" s="3" t="s">
        <v>223</v>
      </c>
      <c r="C450" s="3" t="s">
        <v>63</v>
      </c>
      <c r="D450" s="3" t="s">
        <v>21</v>
      </c>
      <c r="E450" s="3" t="s">
        <v>155</v>
      </c>
      <c r="F450" s="3">
        <v>21</v>
      </c>
      <c r="G450" s="3" t="s">
        <v>23</v>
      </c>
      <c r="H450" s="3" t="s">
        <v>1019</v>
      </c>
      <c r="I450" s="3"/>
      <c r="J450" s="3" t="s">
        <v>17</v>
      </c>
      <c r="K450" s="3">
        <v>48068</v>
      </c>
    </row>
    <row r="451" spans="1:11">
      <c r="A451" s="3" t="s">
        <v>1020</v>
      </c>
      <c r="B451" s="3" t="s">
        <v>125</v>
      </c>
      <c r="C451" s="3" t="s">
        <v>59</v>
      </c>
      <c r="D451" s="3" t="s">
        <v>21</v>
      </c>
      <c r="E451" s="3" t="s">
        <v>22</v>
      </c>
      <c r="F451" s="3">
        <v>34</v>
      </c>
      <c r="G451" s="3" t="s">
        <v>23</v>
      </c>
      <c r="H451" s="3" t="s">
        <v>1021</v>
      </c>
      <c r="I451" s="3" t="s">
        <v>1022</v>
      </c>
      <c r="J451" s="3" t="s">
        <v>51</v>
      </c>
      <c r="K451" s="3">
        <v>36490</v>
      </c>
    </row>
    <row r="452" spans="1:11">
      <c r="A452" s="3" t="s">
        <v>1023</v>
      </c>
      <c r="B452" s="3" t="s">
        <v>31</v>
      </c>
      <c r="C452" s="3" t="s">
        <v>146</v>
      </c>
      <c r="D452" s="3" t="s">
        <v>21</v>
      </c>
      <c r="E452" s="3" t="s">
        <v>87</v>
      </c>
      <c r="F452" s="3">
        <v>32</v>
      </c>
      <c r="G452" s="3" t="s">
        <v>23</v>
      </c>
      <c r="H452" s="3" t="s">
        <v>1024</v>
      </c>
      <c r="I452" s="3"/>
      <c r="J452" s="3" t="s">
        <v>17</v>
      </c>
      <c r="K452" s="3">
        <v>65610</v>
      </c>
    </row>
    <row r="453" spans="1:11">
      <c r="A453" s="3" t="s">
        <v>1025</v>
      </c>
      <c r="B453" s="3" t="s">
        <v>125</v>
      </c>
      <c r="C453" s="3" t="s">
        <v>103</v>
      </c>
      <c r="D453" s="3" t="s">
        <v>27</v>
      </c>
      <c r="E453" s="3" t="s">
        <v>122</v>
      </c>
      <c r="F453" s="3">
        <v>44</v>
      </c>
      <c r="G453" s="3" t="s">
        <v>23</v>
      </c>
      <c r="H453" s="3" t="s">
        <v>1026</v>
      </c>
      <c r="I453" s="3"/>
      <c r="J453" s="3" t="s">
        <v>17</v>
      </c>
      <c r="K453" s="3">
        <v>73512</v>
      </c>
    </row>
    <row r="454" spans="1:11">
      <c r="A454" s="3" t="s">
        <v>1027</v>
      </c>
      <c r="B454" s="3" t="s">
        <v>73</v>
      </c>
      <c r="C454" s="3" t="s">
        <v>53</v>
      </c>
      <c r="D454" s="3" t="s">
        <v>27</v>
      </c>
      <c r="E454" s="3" t="s">
        <v>28</v>
      </c>
      <c r="F454" s="3">
        <v>36</v>
      </c>
      <c r="G454" s="3" t="s">
        <v>16</v>
      </c>
      <c r="H454" s="3" t="s">
        <v>1028</v>
      </c>
      <c r="I454" s="3"/>
      <c r="J454" s="3" t="s">
        <v>17</v>
      </c>
      <c r="K454" s="3">
        <v>48041</v>
      </c>
    </row>
    <row r="455" spans="1:11">
      <c r="A455" s="3" t="s">
        <v>1029</v>
      </c>
      <c r="B455" s="3" t="s">
        <v>41</v>
      </c>
      <c r="C455" s="3" t="s">
        <v>213</v>
      </c>
      <c r="D455" s="3" t="s">
        <v>64</v>
      </c>
      <c r="E455" s="3" t="s">
        <v>161</v>
      </c>
      <c r="F455" s="3">
        <v>24</v>
      </c>
      <c r="G455" s="3" t="s">
        <v>16</v>
      </c>
      <c r="H455" s="3" t="s">
        <v>1030</v>
      </c>
      <c r="I455" s="3" t="s">
        <v>1031</v>
      </c>
      <c r="J455" s="3" t="s">
        <v>51</v>
      </c>
      <c r="K455" s="3">
        <v>78264</v>
      </c>
    </row>
    <row r="456" spans="1:11">
      <c r="A456" s="3" t="s">
        <v>1032</v>
      </c>
      <c r="B456" s="3" t="s">
        <v>19</v>
      </c>
      <c r="C456" s="3" t="s">
        <v>177</v>
      </c>
      <c r="D456" s="3" t="s">
        <v>21</v>
      </c>
      <c r="E456" s="3" t="s">
        <v>155</v>
      </c>
      <c r="F456" s="3">
        <v>40</v>
      </c>
      <c r="G456" s="3" t="s">
        <v>16</v>
      </c>
      <c r="H456" s="3" t="s">
        <v>1033</v>
      </c>
      <c r="I456" s="3"/>
      <c r="J456" s="3" t="s">
        <v>17</v>
      </c>
      <c r="K456" s="3">
        <v>25989</v>
      </c>
    </row>
    <row r="457" spans="1:11">
      <c r="A457" s="3" t="s">
        <v>1034</v>
      </c>
      <c r="B457" s="3" t="s">
        <v>145</v>
      </c>
      <c r="C457" s="3" t="s">
        <v>177</v>
      </c>
      <c r="D457" s="3" t="s">
        <v>43</v>
      </c>
      <c r="E457" s="3" t="s">
        <v>70</v>
      </c>
      <c r="F457" s="3">
        <v>38</v>
      </c>
      <c r="G457" s="3" t="s">
        <v>23</v>
      </c>
      <c r="H457" s="3" t="s">
        <v>1035</v>
      </c>
      <c r="I457" s="3"/>
      <c r="J457" s="3" t="s">
        <v>17</v>
      </c>
      <c r="K457" s="3">
        <v>77712</v>
      </c>
    </row>
    <row r="458" spans="1:11">
      <c r="A458" s="3" t="s">
        <v>1036</v>
      </c>
      <c r="B458" s="3" t="s">
        <v>102</v>
      </c>
      <c r="C458" s="3" t="s">
        <v>164</v>
      </c>
      <c r="D458" s="3" t="s">
        <v>43</v>
      </c>
      <c r="E458" s="3" t="s">
        <v>48</v>
      </c>
      <c r="F458" s="3">
        <v>34</v>
      </c>
      <c r="G458" s="3" t="s">
        <v>23</v>
      </c>
      <c r="H458" s="3" t="s">
        <v>1037</v>
      </c>
      <c r="I458" s="3"/>
      <c r="J458" s="3" t="s">
        <v>17</v>
      </c>
      <c r="K458" s="3">
        <v>64920</v>
      </c>
    </row>
    <row r="459" spans="1:11">
      <c r="A459" s="3" t="s">
        <v>1038</v>
      </c>
      <c r="B459" s="3" t="s">
        <v>47</v>
      </c>
      <c r="C459" s="3" t="s">
        <v>63</v>
      </c>
      <c r="D459" s="3" t="s">
        <v>27</v>
      </c>
      <c r="E459" s="3" t="s">
        <v>54</v>
      </c>
      <c r="F459" s="3">
        <v>34</v>
      </c>
      <c r="G459" s="3" t="s">
        <v>16</v>
      </c>
      <c r="H459" s="3" t="s">
        <v>699</v>
      </c>
      <c r="I459" s="3"/>
      <c r="J459" s="3" t="s">
        <v>17</v>
      </c>
      <c r="K459" s="3">
        <v>32977</v>
      </c>
    </row>
    <row r="460" spans="1:11">
      <c r="A460" s="3" t="s">
        <v>1039</v>
      </c>
      <c r="B460" s="3" t="s">
        <v>134</v>
      </c>
      <c r="C460" s="3" t="s">
        <v>174</v>
      </c>
      <c r="D460" s="3" t="s">
        <v>435</v>
      </c>
      <c r="E460" s="3" t="s">
        <v>34</v>
      </c>
      <c r="F460" s="3">
        <v>21</v>
      </c>
      <c r="G460" s="3" t="s">
        <v>16</v>
      </c>
      <c r="H460" s="3" t="s">
        <v>1040</v>
      </c>
      <c r="I460" s="3"/>
      <c r="J460" s="3" t="s">
        <v>17</v>
      </c>
      <c r="K460" s="3">
        <v>50193</v>
      </c>
    </row>
    <row r="461" spans="1:11">
      <c r="A461" s="3" t="s">
        <v>1041</v>
      </c>
      <c r="B461" s="3" t="s">
        <v>226</v>
      </c>
      <c r="C461" s="3" t="s">
        <v>94</v>
      </c>
      <c r="D461" s="3" t="s">
        <v>118</v>
      </c>
      <c r="E461" s="3" t="s">
        <v>48</v>
      </c>
      <c r="F461" s="3">
        <v>25</v>
      </c>
      <c r="G461" s="3" t="s">
        <v>16</v>
      </c>
      <c r="H461" s="3" t="s">
        <v>1042</v>
      </c>
      <c r="I461" s="3"/>
      <c r="J461" s="3" t="s">
        <v>17</v>
      </c>
      <c r="K461" s="3">
        <v>59644</v>
      </c>
    </row>
    <row r="462" spans="1:11">
      <c r="A462" s="3" t="s">
        <v>1043</v>
      </c>
      <c r="B462" s="3" t="s">
        <v>93</v>
      </c>
      <c r="C462" s="3" t="s">
        <v>103</v>
      </c>
      <c r="D462" s="3" t="s">
        <v>43</v>
      </c>
      <c r="E462" s="3" t="s">
        <v>48</v>
      </c>
      <c r="F462" s="3">
        <v>39</v>
      </c>
      <c r="G462" s="3" t="s">
        <v>16</v>
      </c>
      <c r="H462" s="3" t="s">
        <v>1044</v>
      </c>
      <c r="I462" s="3"/>
      <c r="J462" s="3" t="s">
        <v>17</v>
      </c>
      <c r="K462" s="3">
        <v>78637</v>
      </c>
    </row>
    <row r="463" spans="1:11">
      <c r="A463" s="3" t="s">
        <v>1045</v>
      </c>
      <c r="B463" s="3" t="s">
        <v>238</v>
      </c>
      <c r="C463" s="3" t="s">
        <v>103</v>
      </c>
      <c r="D463" s="3" t="s">
        <v>43</v>
      </c>
      <c r="E463" s="3" t="s">
        <v>48</v>
      </c>
      <c r="F463" s="3">
        <v>44</v>
      </c>
      <c r="G463" s="3" t="s">
        <v>23</v>
      </c>
      <c r="H463" s="3" t="s">
        <v>632</v>
      </c>
      <c r="I463" s="3"/>
      <c r="J463" s="3" t="s">
        <v>17</v>
      </c>
      <c r="K463" s="3">
        <v>76505</v>
      </c>
    </row>
    <row r="464" spans="1:11">
      <c r="A464" s="3" t="s">
        <v>1046</v>
      </c>
      <c r="B464" s="3" t="s">
        <v>216</v>
      </c>
      <c r="C464" s="3" t="s">
        <v>174</v>
      </c>
      <c r="D464" s="3" t="s">
        <v>33</v>
      </c>
      <c r="E464" s="3" t="s">
        <v>34</v>
      </c>
      <c r="F464" s="3">
        <v>31</v>
      </c>
      <c r="G464" s="3" t="s">
        <v>16</v>
      </c>
      <c r="H464" s="3" t="s">
        <v>1047</v>
      </c>
      <c r="I464" s="3"/>
      <c r="J464" s="3" t="s">
        <v>17</v>
      </c>
      <c r="K464" s="3">
        <v>60088</v>
      </c>
    </row>
    <row r="465" spans="1:11">
      <c r="A465" s="3" t="s">
        <v>1048</v>
      </c>
      <c r="B465" s="3" t="s">
        <v>93</v>
      </c>
      <c r="C465" s="3" t="s">
        <v>177</v>
      </c>
      <c r="D465" s="3" t="s">
        <v>64</v>
      </c>
      <c r="E465" s="3" t="s">
        <v>266</v>
      </c>
      <c r="F465" s="3">
        <v>43</v>
      </c>
      <c r="G465" s="3" t="s">
        <v>16</v>
      </c>
      <c r="H465" s="3" t="s">
        <v>1049</v>
      </c>
      <c r="I465" s="3"/>
      <c r="J465" s="3" t="s">
        <v>17</v>
      </c>
      <c r="K465" s="3">
        <v>64353</v>
      </c>
    </row>
    <row r="466" spans="1:11">
      <c r="A466" s="3" t="s">
        <v>1050</v>
      </c>
      <c r="B466" s="3" t="s">
        <v>98</v>
      </c>
      <c r="C466" s="3" t="s">
        <v>146</v>
      </c>
      <c r="D466" s="3" t="s">
        <v>43</v>
      </c>
      <c r="E466" s="3" t="s">
        <v>44</v>
      </c>
      <c r="F466" s="3">
        <v>39</v>
      </c>
      <c r="G466" s="3" t="s">
        <v>23</v>
      </c>
      <c r="H466" s="3" t="s">
        <v>1051</v>
      </c>
      <c r="I466" s="3"/>
      <c r="J466" s="3" t="s">
        <v>17</v>
      </c>
      <c r="K466" s="3">
        <v>57640</v>
      </c>
    </row>
    <row r="467" spans="1:11">
      <c r="A467" s="3" t="s">
        <v>1052</v>
      </c>
      <c r="B467" s="3" t="s">
        <v>263</v>
      </c>
      <c r="C467" s="3" t="s">
        <v>26</v>
      </c>
      <c r="D467" s="3" t="s">
        <v>33</v>
      </c>
      <c r="E467" s="3" t="s">
        <v>34</v>
      </c>
      <c r="F467" s="3">
        <v>35</v>
      </c>
      <c r="G467" s="3" t="s">
        <v>16</v>
      </c>
      <c r="H467" s="3" t="s">
        <v>1053</v>
      </c>
      <c r="I467" s="3" t="s">
        <v>769</v>
      </c>
      <c r="J467" s="3" t="s">
        <v>51</v>
      </c>
      <c r="K467" s="3">
        <v>47595</v>
      </c>
    </row>
    <row r="468" spans="1:11">
      <c r="A468" s="3" t="s">
        <v>1054</v>
      </c>
      <c r="B468" s="3" t="s">
        <v>102</v>
      </c>
      <c r="C468" s="3" t="s">
        <v>103</v>
      </c>
      <c r="D468" s="3" t="s">
        <v>64</v>
      </c>
      <c r="E468" s="3" t="s">
        <v>266</v>
      </c>
      <c r="F468" s="3">
        <v>41</v>
      </c>
      <c r="G468" s="3" t="s">
        <v>16</v>
      </c>
      <c r="H468" s="3" t="s">
        <v>1055</v>
      </c>
      <c r="I468" s="3"/>
      <c r="J468" s="3" t="s">
        <v>17</v>
      </c>
      <c r="K468" s="3">
        <v>53339</v>
      </c>
    </row>
    <row r="469" spans="1:11">
      <c r="A469" s="3" t="s">
        <v>1056</v>
      </c>
      <c r="B469" s="3" t="s">
        <v>106</v>
      </c>
      <c r="C469" s="3" t="s">
        <v>42</v>
      </c>
      <c r="D469" s="3" t="s">
        <v>33</v>
      </c>
      <c r="E469" s="3" t="s">
        <v>79</v>
      </c>
      <c r="F469" s="3">
        <v>34</v>
      </c>
      <c r="G469" s="3" t="s">
        <v>16</v>
      </c>
      <c r="H469" s="3" t="s">
        <v>1057</v>
      </c>
      <c r="I469" s="3"/>
      <c r="J469" s="3" t="s">
        <v>17</v>
      </c>
      <c r="K469" s="3">
        <v>20000</v>
      </c>
    </row>
    <row r="470" spans="1:11">
      <c r="A470" s="3" t="s">
        <v>1058</v>
      </c>
      <c r="B470" s="3" t="s">
        <v>263</v>
      </c>
      <c r="C470" s="3" t="s">
        <v>26</v>
      </c>
      <c r="D470" s="3" t="s">
        <v>21</v>
      </c>
      <c r="E470" s="3" t="s">
        <v>87</v>
      </c>
      <c r="F470" s="3">
        <v>41</v>
      </c>
      <c r="G470" s="3" t="s">
        <v>16</v>
      </c>
      <c r="H470" s="3" t="s">
        <v>1059</v>
      </c>
      <c r="I470" s="3"/>
      <c r="J470" s="3" t="s">
        <v>17</v>
      </c>
      <c r="K470" s="3">
        <v>64341</v>
      </c>
    </row>
    <row r="471" spans="1:11">
      <c r="A471" s="3" t="s">
        <v>1060</v>
      </c>
      <c r="B471" s="3" t="s">
        <v>102</v>
      </c>
      <c r="C471" s="3" t="s">
        <v>205</v>
      </c>
      <c r="D471" s="3" t="s">
        <v>21</v>
      </c>
      <c r="E471" s="3" t="s">
        <v>87</v>
      </c>
      <c r="F471" s="3">
        <v>36</v>
      </c>
      <c r="G471" s="3" t="s">
        <v>23</v>
      </c>
      <c r="H471" s="3" t="s">
        <v>1061</v>
      </c>
      <c r="I471" s="3"/>
      <c r="J471" s="3" t="s">
        <v>17</v>
      </c>
      <c r="K471" s="3">
        <v>72704</v>
      </c>
    </row>
    <row r="472" spans="1:11">
      <c r="A472" s="3" t="s">
        <v>1062</v>
      </c>
      <c r="B472" s="3" t="s">
        <v>47</v>
      </c>
      <c r="C472" s="3" t="s">
        <v>63</v>
      </c>
      <c r="D472" s="3" t="s">
        <v>27</v>
      </c>
      <c r="E472" s="3" t="s">
        <v>122</v>
      </c>
      <c r="F472" s="3">
        <v>26</v>
      </c>
      <c r="G472" s="3" t="s">
        <v>23</v>
      </c>
      <c r="H472" s="3" t="s">
        <v>1063</v>
      </c>
      <c r="I472" s="3"/>
      <c r="J472" s="3" t="s">
        <v>17</v>
      </c>
      <c r="K472" s="3">
        <v>35380</v>
      </c>
    </row>
    <row r="473" spans="1:11">
      <c r="A473" s="3" t="s">
        <v>1064</v>
      </c>
      <c r="B473" s="3" t="s">
        <v>47</v>
      </c>
      <c r="C473" s="3" t="s">
        <v>94</v>
      </c>
      <c r="D473" s="3" t="s">
        <v>43</v>
      </c>
      <c r="E473" s="3" t="s">
        <v>44</v>
      </c>
      <c r="F473" s="3">
        <v>27</v>
      </c>
      <c r="G473" s="3" t="s">
        <v>23</v>
      </c>
      <c r="H473" s="3" t="s">
        <v>1065</v>
      </c>
      <c r="I473" s="3"/>
      <c r="J473" s="3" t="s">
        <v>17</v>
      </c>
      <c r="K473" s="3">
        <v>79713</v>
      </c>
    </row>
    <row r="474" spans="1:11">
      <c r="A474" s="3" t="s">
        <v>1066</v>
      </c>
      <c r="B474" s="3" t="s">
        <v>141</v>
      </c>
      <c r="C474" s="3" t="s">
        <v>103</v>
      </c>
      <c r="D474" s="3" t="s">
        <v>435</v>
      </c>
      <c r="E474" s="3" t="s">
        <v>79</v>
      </c>
      <c r="F474" s="3">
        <v>36</v>
      </c>
      <c r="G474" s="3" t="s">
        <v>16</v>
      </c>
      <c r="H474" s="3" t="s">
        <v>1067</v>
      </c>
      <c r="I474" s="3" t="s">
        <v>1068</v>
      </c>
      <c r="J474" s="3" t="s">
        <v>51</v>
      </c>
      <c r="K474" s="3">
        <v>50540</v>
      </c>
    </row>
    <row r="475" spans="1:11">
      <c r="A475" s="3" t="s">
        <v>1069</v>
      </c>
      <c r="B475" s="3" t="s">
        <v>121</v>
      </c>
      <c r="C475" s="3" t="s">
        <v>205</v>
      </c>
      <c r="D475" s="3" t="s">
        <v>43</v>
      </c>
      <c r="E475" s="3" t="s">
        <v>44</v>
      </c>
      <c r="F475" s="3">
        <v>37</v>
      </c>
      <c r="G475" s="3" t="s">
        <v>23</v>
      </c>
      <c r="H475" s="3" t="s">
        <v>904</v>
      </c>
      <c r="I475" s="3"/>
      <c r="J475" s="3" t="s">
        <v>17</v>
      </c>
      <c r="K475" s="3">
        <v>54252</v>
      </c>
    </row>
    <row r="476" spans="1:11">
      <c r="A476" s="3" t="s">
        <v>1070</v>
      </c>
      <c r="B476" s="3" t="s">
        <v>98</v>
      </c>
      <c r="C476" s="3" t="s">
        <v>146</v>
      </c>
      <c r="D476" s="3" t="s">
        <v>648</v>
      </c>
      <c r="E476" s="3" t="s">
        <v>161</v>
      </c>
      <c r="F476" s="3">
        <v>24</v>
      </c>
      <c r="G476" s="3" t="s">
        <v>16</v>
      </c>
      <c r="H476" s="3" t="s">
        <v>1071</v>
      </c>
      <c r="I476" s="3"/>
      <c r="J476" s="3" t="s">
        <v>17</v>
      </c>
      <c r="K476" s="3">
        <v>45031</v>
      </c>
    </row>
    <row r="477" spans="1:11">
      <c r="A477" s="3" t="s">
        <v>1072</v>
      </c>
      <c r="B477" s="3" t="s">
        <v>216</v>
      </c>
      <c r="C477" s="3" t="s">
        <v>213</v>
      </c>
      <c r="D477" s="3" t="s">
        <v>64</v>
      </c>
      <c r="E477" s="3" t="s">
        <v>65</v>
      </c>
      <c r="F477" s="3">
        <v>38</v>
      </c>
      <c r="G477" s="3" t="s">
        <v>23</v>
      </c>
      <c r="H477" s="3" t="s">
        <v>610</v>
      </c>
      <c r="I477" s="3"/>
      <c r="J477" s="3" t="s">
        <v>17</v>
      </c>
      <c r="K477" s="3">
        <v>18000</v>
      </c>
    </row>
    <row r="478" spans="1:11">
      <c r="A478" s="3" t="s">
        <v>1073</v>
      </c>
      <c r="B478" s="3" t="s">
        <v>78</v>
      </c>
      <c r="C478" s="3" t="s">
        <v>213</v>
      </c>
      <c r="D478" s="3" t="s">
        <v>21</v>
      </c>
      <c r="E478" s="3" t="s">
        <v>95</v>
      </c>
      <c r="F478" s="3">
        <v>36</v>
      </c>
      <c r="G478" s="3" t="s">
        <v>16</v>
      </c>
      <c r="H478" s="3" t="s">
        <v>1074</v>
      </c>
      <c r="I478" s="3"/>
      <c r="J478" s="3" t="s">
        <v>17</v>
      </c>
      <c r="K478" s="3">
        <v>73844</v>
      </c>
    </row>
    <row r="479" spans="1:11">
      <c r="A479" s="3" t="s">
        <v>1075</v>
      </c>
      <c r="B479" s="3" t="s">
        <v>128</v>
      </c>
      <c r="C479" s="3" t="s">
        <v>63</v>
      </c>
      <c r="D479" s="3" t="s">
        <v>21</v>
      </c>
      <c r="E479" s="3" t="s">
        <v>95</v>
      </c>
      <c r="F479" s="3">
        <v>30</v>
      </c>
      <c r="G479" s="3" t="s">
        <v>16</v>
      </c>
      <c r="H479" s="3" t="s">
        <v>1076</v>
      </c>
      <c r="I479" s="3"/>
      <c r="J479" s="3" t="s">
        <v>17</v>
      </c>
      <c r="K479" s="3">
        <v>45835</v>
      </c>
    </row>
    <row r="480" spans="1:11">
      <c r="A480" s="3" t="s">
        <v>1077</v>
      </c>
      <c r="B480" s="3" t="s">
        <v>125</v>
      </c>
      <c r="C480" s="3" t="s">
        <v>146</v>
      </c>
      <c r="D480" s="3" t="s">
        <v>21</v>
      </c>
      <c r="E480" s="3" t="s">
        <v>87</v>
      </c>
      <c r="F480" s="3">
        <v>48</v>
      </c>
      <c r="G480" s="3" t="s">
        <v>23</v>
      </c>
      <c r="H480" s="3" t="s">
        <v>1078</v>
      </c>
      <c r="I480" s="3"/>
      <c r="J480" s="3" t="s">
        <v>17</v>
      </c>
      <c r="K480" s="3">
        <v>76042</v>
      </c>
    </row>
    <row r="481" spans="1:11">
      <c r="A481" s="3" t="s">
        <v>1079</v>
      </c>
      <c r="B481" s="3" t="s">
        <v>112</v>
      </c>
      <c r="C481" s="3" t="s">
        <v>83</v>
      </c>
      <c r="D481" s="3" t="s">
        <v>64</v>
      </c>
      <c r="E481" s="3" t="s">
        <v>65</v>
      </c>
      <c r="F481" s="3">
        <v>21</v>
      </c>
      <c r="G481" s="3" t="s">
        <v>16</v>
      </c>
      <c r="H481" s="3" t="s">
        <v>1080</v>
      </c>
      <c r="I481" s="3"/>
      <c r="J481" s="3" t="s">
        <v>17</v>
      </c>
      <c r="K481" s="3">
        <v>34655</v>
      </c>
    </row>
    <row r="482" spans="1:11">
      <c r="A482" s="3" t="s">
        <v>1081</v>
      </c>
      <c r="B482" s="3" t="s">
        <v>12</v>
      </c>
      <c r="C482" s="3" t="s">
        <v>103</v>
      </c>
      <c r="D482" s="3" t="s">
        <v>21</v>
      </c>
      <c r="E482" s="3" t="s">
        <v>87</v>
      </c>
      <c r="F482" s="3">
        <v>28</v>
      </c>
      <c r="G482" s="3" t="s">
        <v>23</v>
      </c>
      <c r="H482" s="3" t="s">
        <v>1082</v>
      </c>
      <c r="I482" s="3"/>
      <c r="J482" s="3" t="s">
        <v>17</v>
      </c>
      <c r="K482" s="3">
        <v>39070</v>
      </c>
    </row>
    <row r="483" spans="1:11">
      <c r="A483" s="3" t="s">
        <v>1083</v>
      </c>
      <c r="B483" s="3" t="s">
        <v>152</v>
      </c>
      <c r="C483" s="3" t="s">
        <v>135</v>
      </c>
      <c r="D483" s="3" t="s">
        <v>14</v>
      </c>
      <c r="E483" s="3" t="s">
        <v>15</v>
      </c>
      <c r="F483" s="3">
        <v>40</v>
      </c>
      <c r="G483" s="3" t="s">
        <v>23</v>
      </c>
      <c r="H483" s="3" t="s">
        <v>1084</v>
      </c>
      <c r="I483" s="3"/>
      <c r="J483" s="3" t="s">
        <v>17</v>
      </c>
      <c r="K483" s="3">
        <v>71149</v>
      </c>
    </row>
    <row r="484" spans="1:11">
      <c r="A484" s="3" t="s">
        <v>1085</v>
      </c>
      <c r="B484" s="3" t="s">
        <v>141</v>
      </c>
      <c r="C484" s="3" t="s">
        <v>113</v>
      </c>
      <c r="D484" s="3" t="s">
        <v>21</v>
      </c>
      <c r="E484" s="3" t="s">
        <v>95</v>
      </c>
      <c r="F484" s="3">
        <v>41</v>
      </c>
      <c r="G484" s="3" t="s">
        <v>23</v>
      </c>
      <c r="H484" s="3" t="s">
        <v>1086</v>
      </c>
      <c r="I484" s="3"/>
      <c r="J484" s="3" t="s">
        <v>17</v>
      </c>
      <c r="K484" s="3">
        <v>87715</v>
      </c>
    </row>
    <row r="485" spans="1:11">
      <c r="A485" s="3" t="s">
        <v>1087</v>
      </c>
      <c r="B485" s="3" t="s">
        <v>106</v>
      </c>
      <c r="C485" s="3" t="s">
        <v>69</v>
      </c>
      <c r="D485" s="3" t="s">
        <v>33</v>
      </c>
      <c r="E485" s="3" t="s">
        <v>34</v>
      </c>
      <c r="F485" s="3">
        <v>38</v>
      </c>
      <c r="G485" s="3" t="s">
        <v>16</v>
      </c>
      <c r="H485" s="3" t="s">
        <v>1088</v>
      </c>
      <c r="I485" s="3"/>
      <c r="J485" s="3" t="s">
        <v>17</v>
      </c>
      <c r="K485" s="3">
        <v>57330</v>
      </c>
    </row>
    <row r="486" spans="1:11">
      <c r="A486" s="3" t="s">
        <v>1089</v>
      </c>
      <c r="B486" s="3" t="s">
        <v>102</v>
      </c>
      <c r="C486" s="3" t="s">
        <v>213</v>
      </c>
      <c r="D486" s="3" t="s">
        <v>14</v>
      </c>
      <c r="E486" s="3" t="s">
        <v>75</v>
      </c>
      <c r="F486" s="3">
        <v>21</v>
      </c>
      <c r="G486" s="3" t="s">
        <v>16</v>
      </c>
      <c r="H486" s="3" t="s">
        <v>1090</v>
      </c>
      <c r="I486" s="3"/>
      <c r="J486" s="3" t="s">
        <v>17</v>
      </c>
      <c r="K486" s="3">
        <v>62177</v>
      </c>
    </row>
    <row r="487" spans="1:11">
      <c r="A487" s="3" t="s">
        <v>1091</v>
      </c>
      <c r="B487" s="3" t="s">
        <v>112</v>
      </c>
      <c r="C487" s="3" t="s">
        <v>38</v>
      </c>
      <c r="D487" s="3" t="s">
        <v>21</v>
      </c>
      <c r="E487" s="3" t="s">
        <v>22</v>
      </c>
      <c r="F487" s="3">
        <v>35</v>
      </c>
      <c r="G487" s="3" t="s">
        <v>23</v>
      </c>
      <c r="H487" s="3" t="s">
        <v>1092</v>
      </c>
      <c r="I487" s="3"/>
      <c r="J487" s="3" t="s">
        <v>17</v>
      </c>
      <c r="K487" s="3">
        <v>48530</v>
      </c>
    </row>
    <row r="488" spans="1:11">
      <c r="A488" s="3" t="s">
        <v>1093</v>
      </c>
      <c r="B488" s="3" t="s">
        <v>37</v>
      </c>
      <c r="C488" s="3" t="s">
        <v>74</v>
      </c>
      <c r="D488" s="3" t="s">
        <v>43</v>
      </c>
      <c r="E488" s="3" t="s">
        <v>70</v>
      </c>
      <c r="F488" s="3">
        <v>36</v>
      </c>
      <c r="G488" s="3" t="s">
        <v>16</v>
      </c>
      <c r="H488" s="3" t="s">
        <v>1094</v>
      </c>
      <c r="I488" s="3" t="s">
        <v>588</v>
      </c>
      <c r="J488" s="3" t="s">
        <v>51</v>
      </c>
      <c r="K488" s="3">
        <v>64507</v>
      </c>
    </row>
    <row r="489" spans="1:11">
      <c r="A489" s="3" t="s">
        <v>1095</v>
      </c>
      <c r="B489" s="3" t="s">
        <v>121</v>
      </c>
      <c r="C489" s="3" t="s">
        <v>177</v>
      </c>
      <c r="D489" s="3" t="s">
        <v>809</v>
      </c>
      <c r="E489" s="3" t="s">
        <v>44</v>
      </c>
      <c r="F489" s="3">
        <v>34</v>
      </c>
      <c r="G489" s="3" t="s">
        <v>16</v>
      </c>
      <c r="H489" s="3" t="s">
        <v>672</v>
      </c>
      <c r="I489" s="3"/>
      <c r="J489" s="3" t="s">
        <v>17</v>
      </c>
      <c r="K489" s="3">
        <v>58573</v>
      </c>
    </row>
    <row r="490" spans="1:11">
      <c r="A490" s="3" t="s">
        <v>1096</v>
      </c>
      <c r="B490" s="3" t="s">
        <v>12</v>
      </c>
      <c r="C490" s="3" t="s">
        <v>53</v>
      </c>
      <c r="D490" s="3" t="s">
        <v>27</v>
      </c>
      <c r="E490" s="3" t="s">
        <v>54</v>
      </c>
      <c r="F490" s="3">
        <v>38</v>
      </c>
      <c r="G490" s="3" t="s">
        <v>16</v>
      </c>
      <c r="H490" s="3" t="s">
        <v>1097</v>
      </c>
      <c r="I490" s="3"/>
      <c r="J490" s="3" t="s">
        <v>17</v>
      </c>
      <c r="K490" s="3">
        <v>63023</v>
      </c>
    </row>
    <row r="491" spans="1:11">
      <c r="A491" s="3" t="s">
        <v>1098</v>
      </c>
      <c r="B491" s="3" t="s">
        <v>86</v>
      </c>
      <c r="C491" s="3" t="s">
        <v>42</v>
      </c>
      <c r="D491" s="3" t="s">
        <v>43</v>
      </c>
      <c r="E491" s="3" t="s">
        <v>70</v>
      </c>
      <c r="F491" s="3">
        <v>22</v>
      </c>
      <c r="G491" s="3" t="s">
        <v>16</v>
      </c>
      <c r="H491" s="3" t="s">
        <v>1099</v>
      </c>
      <c r="I491" s="3"/>
      <c r="J491" s="3" t="s">
        <v>17</v>
      </c>
      <c r="K491" s="3">
        <v>44249</v>
      </c>
    </row>
    <row r="492" spans="1:11">
      <c r="A492" s="3" t="s">
        <v>1100</v>
      </c>
      <c r="B492" s="3" t="s">
        <v>226</v>
      </c>
      <c r="C492" s="3" t="s">
        <v>53</v>
      </c>
      <c r="D492" s="3" t="s">
        <v>21</v>
      </c>
      <c r="E492" s="3" t="s">
        <v>22</v>
      </c>
      <c r="F492" s="3">
        <v>25</v>
      </c>
      <c r="G492" s="3" t="s">
        <v>16</v>
      </c>
      <c r="H492" s="3" t="s">
        <v>1101</v>
      </c>
      <c r="I492" s="3"/>
      <c r="J492" s="3" t="s">
        <v>17</v>
      </c>
      <c r="K492" s="3">
        <v>57621</v>
      </c>
    </row>
    <row r="493" spans="1:11">
      <c r="A493" s="3" t="s">
        <v>1102</v>
      </c>
      <c r="B493" s="3" t="s">
        <v>128</v>
      </c>
      <c r="C493" s="3" t="s">
        <v>169</v>
      </c>
      <c r="D493" s="3" t="s">
        <v>43</v>
      </c>
      <c r="E493" s="3" t="s">
        <v>44</v>
      </c>
      <c r="F493" s="3">
        <v>29</v>
      </c>
      <c r="G493" s="3" t="s">
        <v>16</v>
      </c>
      <c r="H493" s="3" t="s">
        <v>1103</v>
      </c>
      <c r="I493" s="3" t="s">
        <v>1104</v>
      </c>
      <c r="J493" s="3" t="s">
        <v>51</v>
      </c>
      <c r="K493" s="3">
        <v>69948</v>
      </c>
    </row>
    <row r="494" spans="1:11">
      <c r="A494" s="3" t="s">
        <v>1105</v>
      </c>
      <c r="B494" s="3" t="s">
        <v>68</v>
      </c>
      <c r="C494" s="3" t="s">
        <v>38</v>
      </c>
      <c r="D494" s="3" t="s">
        <v>33</v>
      </c>
      <c r="E494" s="3" t="s">
        <v>79</v>
      </c>
      <c r="F494" s="3">
        <v>29</v>
      </c>
      <c r="G494" s="3" t="s">
        <v>16</v>
      </c>
      <c r="H494" s="3" t="s">
        <v>250</v>
      </c>
      <c r="I494" s="3"/>
      <c r="J494" s="3" t="s">
        <v>17</v>
      </c>
      <c r="K494" s="3">
        <v>68740</v>
      </c>
    </row>
    <row r="495" spans="1:11">
      <c r="A495" s="3" t="s">
        <v>1106</v>
      </c>
      <c r="B495" s="3" t="s">
        <v>223</v>
      </c>
      <c r="C495" s="3" t="s">
        <v>213</v>
      </c>
      <c r="D495" s="3" t="s">
        <v>43</v>
      </c>
      <c r="E495" s="3" t="s">
        <v>70</v>
      </c>
      <c r="F495" s="3">
        <v>28</v>
      </c>
      <c r="G495" s="3" t="s">
        <v>16</v>
      </c>
      <c r="H495" s="3" t="s">
        <v>959</v>
      </c>
      <c r="I495" s="3"/>
      <c r="J495" s="3" t="s">
        <v>17</v>
      </c>
      <c r="K495" s="3">
        <v>77913</v>
      </c>
    </row>
    <row r="496" spans="1:11">
      <c r="A496" s="3" t="s">
        <v>1107</v>
      </c>
      <c r="B496" s="3" t="s">
        <v>25</v>
      </c>
      <c r="C496" s="3" t="s">
        <v>129</v>
      </c>
      <c r="D496" s="3" t="s">
        <v>64</v>
      </c>
      <c r="E496" s="3" t="s">
        <v>266</v>
      </c>
      <c r="F496" s="3">
        <v>35</v>
      </c>
      <c r="G496" s="3" t="s">
        <v>16</v>
      </c>
      <c r="H496" s="3" t="s">
        <v>1108</v>
      </c>
      <c r="I496" s="3" t="s">
        <v>1109</v>
      </c>
      <c r="J496" s="3" t="s">
        <v>51</v>
      </c>
      <c r="K496" s="3">
        <v>63231</v>
      </c>
    </row>
    <row r="497" spans="1:11">
      <c r="A497" s="3" t="s">
        <v>1110</v>
      </c>
      <c r="B497" s="3" t="s">
        <v>298</v>
      </c>
      <c r="C497" s="3" t="s">
        <v>169</v>
      </c>
      <c r="D497" s="3" t="s">
        <v>43</v>
      </c>
      <c r="E497" s="3" t="s">
        <v>44</v>
      </c>
      <c r="F497" s="3">
        <v>36</v>
      </c>
      <c r="G497" s="3" t="s">
        <v>16</v>
      </c>
      <c r="H497" s="3" t="s">
        <v>271</v>
      </c>
      <c r="I497" s="3"/>
      <c r="J497" s="3" t="s">
        <v>17</v>
      </c>
      <c r="K497" s="3">
        <v>58699</v>
      </c>
    </row>
    <row r="498" spans="1:11">
      <c r="A498" s="3" t="s">
        <v>1111</v>
      </c>
      <c r="B498" s="3" t="s">
        <v>106</v>
      </c>
      <c r="C498" s="3" t="s">
        <v>20</v>
      </c>
      <c r="D498" s="3" t="s">
        <v>43</v>
      </c>
      <c r="E498" s="3" t="s">
        <v>44</v>
      </c>
      <c r="F498" s="3">
        <v>28</v>
      </c>
      <c r="G498" s="3" t="s">
        <v>23</v>
      </c>
      <c r="H498" s="3" t="s">
        <v>1112</v>
      </c>
      <c r="I498" s="3" t="s">
        <v>1113</v>
      </c>
      <c r="J498" s="3" t="s">
        <v>51</v>
      </c>
      <c r="K498" s="3">
        <v>55326</v>
      </c>
    </row>
    <row r="499" spans="1:11">
      <c r="A499" s="3" t="s">
        <v>1114</v>
      </c>
      <c r="B499" s="3" t="s">
        <v>58</v>
      </c>
      <c r="C499" s="3" t="s">
        <v>103</v>
      </c>
      <c r="D499" s="3" t="s">
        <v>33</v>
      </c>
      <c r="E499" s="3" t="s">
        <v>79</v>
      </c>
      <c r="F499" s="3">
        <v>26</v>
      </c>
      <c r="G499" s="3" t="s">
        <v>23</v>
      </c>
      <c r="H499" s="3" t="s">
        <v>1115</v>
      </c>
      <c r="I499" s="3"/>
      <c r="J499" s="3" t="s">
        <v>17</v>
      </c>
      <c r="K499" s="3">
        <v>72092</v>
      </c>
    </row>
    <row r="500" spans="1:11">
      <c r="A500" s="3" t="s">
        <v>1116</v>
      </c>
      <c r="B500" s="3" t="s">
        <v>252</v>
      </c>
      <c r="C500" s="3" t="s">
        <v>135</v>
      </c>
      <c r="D500" s="3" t="s">
        <v>43</v>
      </c>
      <c r="E500" s="3" t="s">
        <v>44</v>
      </c>
      <c r="F500" s="3">
        <v>24</v>
      </c>
      <c r="G500" s="3" t="s">
        <v>16</v>
      </c>
      <c r="H500" s="3" t="s">
        <v>1117</v>
      </c>
      <c r="I500" s="3"/>
      <c r="J500" s="3" t="s">
        <v>17</v>
      </c>
      <c r="K500" s="3">
        <v>61929</v>
      </c>
    </row>
    <row r="501" spans="1:11">
      <c r="A501" s="3" t="s">
        <v>1118</v>
      </c>
      <c r="B501" s="3" t="s">
        <v>468</v>
      </c>
      <c r="C501" s="3" t="s">
        <v>169</v>
      </c>
      <c r="D501" s="3" t="s">
        <v>64</v>
      </c>
      <c r="E501" s="3" t="s">
        <v>266</v>
      </c>
      <c r="F501" s="3">
        <v>23</v>
      </c>
      <c r="G501" s="3" t="s">
        <v>23</v>
      </c>
      <c r="H501" s="3" t="s">
        <v>1119</v>
      </c>
      <c r="I501" s="3"/>
      <c r="J501" s="3" t="s">
        <v>17</v>
      </c>
      <c r="K501" s="3">
        <v>64382</v>
      </c>
    </row>
    <row r="502" spans="1:11">
      <c r="A502" s="3" t="s">
        <v>1120</v>
      </c>
      <c r="B502" s="3" t="s">
        <v>226</v>
      </c>
      <c r="C502" s="3" t="s">
        <v>63</v>
      </c>
      <c r="D502" s="3" t="s">
        <v>43</v>
      </c>
      <c r="E502" s="3" t="s">
        <v>48</v>
      </c>
      <c r="F502" s="3">
        <v>43</v>
      </c>
      <c r="G502" s="3" t="s">
        <v>23</v>
      </c>
      <c r="H502" s="3" t="s">
        <v>1121</v>
      </c>
      <c r="I502" s="3"/>
      <c r="J502" s="3" t="s">
        <v>17</v>
      </c>
      <c r="K502" s="3">
        <v>52955</v>
      </c>
    </row>
    <row r="503" spans="1:11">
      <c r="A503" s="3" t="s">
        <v>1122</v>
      </c>
      <c r="B503" s="3" t="s">
        <v>145</v>
      </c>
      <c r="C503" s="3" t="s">
        <v>53</v>
      </c>
      <c r="D503" s="3" t="s">
        <v>118</v>
      </c>
      <c r="E503" s="3" t="s">
        <v>70</v>
      </c>
      <c r="F503" s="3">
        <v>23</v>
      </c>
      <c r="G503" s="3" t="s">
        <v>23</v>
      </c>
      <c r="H503" s="3" t="s">
        <v>818</v>
      </c>
      <c r="I503" s="3"/>
      <c r="J503" s="3" t="s">
        <v>17</v>
      </c>
      <c r="K503" s="3">
        <v>59151</v>
      </c>
    </row>
    <row r="504" spans="1:11">
      <c r="A504" s="3" t="s">
        <v>1123</v>
      </c>
      <c r="B504" s="3" t="s">
        <v>152</v>
      </c>
      <c r="C504" s="3" t="s">
        <v>177</v>
      </c>
      <c r="D504" s="3" t="s">
        <v>21</v>
      </c>
      <c r="E504" s="3" t="s">
        <v>155</v>
      </c>
      <c r="F504" s="3">
        <v>39</v>
      </c>
      <c r="G504" s="3" t="s">
        <v>23</v>
      </c>
      <c r="H504" s="3" t="s">
        <v>1124</v>
      </c>
      <c r="I504" s="3" t="s">
        <v>1125</v>
      </c>
      <c r="J504" s="3" t="s">
        <v>51</v>
      </c>
      <c r="K504" s="3">
        <v>36437</v>
      </c>
    </row>
    <row r="505" spans="1:11">
      <c r="A505" s="3" t="s">
        <v>1126</v>
      </c>
      <c r="B505" s="3" t="s">
        <v>145</v>
      </c>
      <c r="C505" s="3" t="s">
        <v>205</v>
      </c>
      <c r="D505" s="3" t="s">
        <v>43</v>
      </c>
      <c r="E505" s="3" t="s">
        <v>48</v>
      </c>
      <c r="F505" s="3">
        <v>34</v>
      </c>
      <c r="G505" s="3" t="s">
        <v>16</v>
      </c>
      <c r="H505" s="3" t="s">
        <v>1127</v>
      </c>
      <c r="I505" s="3"/>
      <c r="J505" s="3" t="s">
        <v>17</v>
      </c>
      <c r="K505" s="3">
        <v>62475</v>
      </c>
    </row>
    <row r="506" spans="1:11">
      <c r="A506" s="3" t="s">
        <v>1128</v>
      </c>
      <c r="B506" s="3" t="s">
        <v>223</v>
      </c>
      <c r="C506" s="3" t="s">
        <v>94</v>
      </c>
      <c r="D506" s="3" t="s">
        <v>14</v>
      </c>
      <c r="E506" s="3" t="s">
        <v>75</v>
      </c>
      <c r="F506" s="3">
        <v>33</v>
      </c>
      <c r="G506" s="3" t="s">
        <v>16</v>
      </c>
      <c r="H506" s="3" t="s">
        <v>1129</v>
      </c>
      <c r="I506" s="3"/>
      <c r="J506" s="3" t="s">
        <v>17</v>
      </c>
      <c r="K506" s="3">
        <v>49688</v>
      </c>
    </row>
    <row r="507" spans="1:11">
      <c r="A507" s="3" t="s">
        <v>1130</v>
      </c>
      <c r="B507" s="3" t="s">
        <v>78</v>
      </c>
      <c r="C507" s="3" t="s">
        <v>26</v>
      </c>
      <c r="D507" s="3" t="s">
        <v>27</v>
      </c>
      <c r="E507" s="3" t="s">
        <v>122</v>
      </c>
      <c r="F507" s="3">
        <v>26</v>
      </c>
      <c r="G507" s="3" t="s">
        <v>23</v>
      </c>
      <c r="H507" s="3" t="s">
        <v>1131</v>
      </c>
      <c r="I507" s="3"/>
      <c r="J507" s="3" t="s">
        <v>17</v>
      </c>
      <c r="K507" s="3">
        <v>37391</v>
      </c>
    </row>
    <row r="508" spans="1:11">
      <c r="A508" s="3" t="s">
        <v>1132</v>
      </c>
      <c r="B508" s="3" t="s">
        <v>37</v>
      </c>
      <c r="C508" s="3" t="s">
        <v>59</v>
      </c>
      <c r="D508" s="3" t="s">
        <v>33</v>
      </c>
      <c r="E508" s="3" t="s">
        <v>34</v>
      </c>
      <c r="F508" s="3">
        <v>30</v>
      </c>
      <c r="G508" s="3" t="s">
        <v>23</v>
      </c>
      <c r="H508" s="3" t="s">
        <v>1133</v>
      </c>
      <c r="I508" s="3"/>
      <c r="J508" s="3" t="s">
        <v>17</v>
      </c>
      <c r="K508" s="3">
        <v>61612</v>
      </c>
    </row>
    <row r="509" spans="1:11">
      <c r="A509" s="3" t="s">
        <v>1134</v>
      </c>
      <c r="B509" s="3" t="s">
        <v>31</v>
      </c>
      <c r="C509" s="3" t="s">
        <v>205</v>
      </c>
      <c r="D509" s="3" t="s">
        <v>43</v>
      </c>
      <c r="E509" s="3" t="s">
        <v>70</v>
      </c>
      <c r="F509" s="3">
        <v>31</v>
      </c>
      <c r="G509" s="3" t="s">
        <v>23</v>
      </c>
      <c r="H509" s="3" t="s">
        <v>1135</v>
      </c>
      <c r="I509" s="3"/>
      <c r="J509" s="3" t="s">
        <v>17</v>
      </c>
      <c r="K509" s="3">
        <v>35355</v>
      </c>
    </row>
    <row r="510" spans="1:11">
      <c r="A510" s="3" t="s">
        <v>1136</v>
      </c>
      <c r="B510" s="3" t="s">
        <v>216</v>
      </c>
      <c r="C510" s="3" t="s">
        <v>20</v>
      </c>
      <c r="D510" s="3" t="s">
        <v>21</v>
      </c>
      <c r="E510" s="3" t="s">
        <v>22</v>
      </c>
      <c r="F510" s="3">
        <v>32</v>
      </c>
      <c r="G510" s="3" t="s">
        <v>16</v>
      </c>
      <c r="H510" s="3" t="s">
        <v>1063</v>
      </c>
      <c r="I510" s="3"/>
      <c r="J510" s="3" t="s">
        <v>17</v>
      </c>
      <c r="K510" s="3">
        <v>37460</v>
      </c>
    </row>
    <row r="511" spans="1:11">
      <c r="A511" s="3" t="s">
        <v>1137</v>
      </c>
      <c r="B511" s="3" t="s">
        <v>58</v>
      </c>
      <c r="C511" s="3" t="s">
        <v>213</v>
      </c>
      <c r="D511" s="3" t="s">
        <v>43</v>
      </c>
      <c r="E511" s="3" t="s">
        <v>44</v>
      </c>
      <c r="F511" s="3">
        <v>27</v>
      </c>
      <c r="G511" s="3" t="s">
        <v>16</v>
      </c>
      <c r="H511" s="4">
        <v>43907</v>
      </c>
      <c r="I511" s="3"/>
      <c r="J511" s="3" t="s">
        <v>17</v>
      </c>
      <c r="K511" s="3">
        <v>71915</v>
      </c>
    </row>
    <row r="512" spans="1:11">
      <c r="A512" s="3" t="s">
        <v>1138</v>
      </c>
      <c r="B512" s="3" t="s">
        <v>25</v>
      </c>
      <c r="C512" s="3" t="s">
        <v>249</v>
      </c>
      <c r="D512" s="3" t="s">
        <v>33</v>
      </c>
      <c r="E512" s="3" t="s">
        <v>79</v>
      </c>
      <c r="F512" s="3">
        <v>41</v>
      </c>
      <c r="G512" s="3" t="s">
        <v>16</v>
      </c>
      <c r="H512" s="3" t="s">
        <v>1139</v>
      </c>
      <c r="I512" s="3"/>
      <c r="J512" s="3" t="s">
        <v>17</v>
      </c>
      <c r="K512" s="3">
        <v>31428</v>
      </c>
    </row>
    <row r="513" spans="1:11">
      <c r="A513" s="3" t="s">
        <v>1140</v>
      </c>
      <c r="B513" s="3" t="s">
        <v>134</v>
      </c>
      <c r="C513" s="3" t="s">
        <v>174</v>
      </c>
      <c r="D513" s="3" t="s">
        <v>21</v>
      </c>
      <c r="E513" s="3" t="s">
        <v>22</v>
      </c>
      <c r="F513" s="3">
        <v>21</v>
      </c>
      <c r="G513" s="3" t="s">
        <v>16</v>
      </c>
      <c r="H513" s="3" t="s">
        <v>1141</v>
      </c>
      <c r="I513" s="3"/>
      <c r="J513" s="3" t="s">
        <v>17</v>
      </c>
      <c r="K513" s="3">
        <v>73096</v>
      </c>
    </row>
    <row r="514" spans="1:11">
      <c r="A514" s="3" t="s">
        <v>1142</v>
      </c>
      <c r="B514" s="3" t="s">
        <v>37</v>
      </c>
      <c r="C514" s="3" t="s">
        <v>20</v>
      </c>
      <c r="D514" s="3" t="s">
        <v>64</v>
      </c>
      <c r="E514" s="3" t="s">
        <v>65</v>
      </c>
      <c r="F514" s="3">
        <v>41</v>
      </c>
      <c r="G514" s="3" t="s">
        <v>23</v>
      </c>
      <c r="H514" s="3" t="s">
        <v>1143</v>
      </c>
      <c r="I514" s="3"/>
      <c r="J514" s="3" t="s">
        <v>17</v>
      </c>
      <c r="K514" s="3">
        <v>68991</v>
      </c>
    </row>
    <row r="515" spans="1:11">
      <c r="A515" s="3" t="s">
        <v>1144</v>
      </c>
      <c r="B515" s="3" t="s">
        <v>134</v>
      </c>
      <c r="C515" s="3" t="s">
        <v>26</v>
      </c>
      <c r="D515" s="3" t="s">
        <v>33</v>
      </c>
      <c r="E515" s="3" t="s">
        <v>79</v>
      </c>
      <c r="F515" s="3">
        <v>29</v>
      </c>
      <c r="G515" s="3" t="s">
        <v>16</v>
      </c>
      <c r="H515" s="3" t="s">
        <v>1145</v>
      </c>
      <c r="I515" s="3"/>
      <c r="J515" s="3" t="s">
        <v>17</v>
      </c>
      <c r="K515" s="3">
        <v>66676</v>
      </c>
    </row>
    <row r="516" spans="1:11">
      <c r="A516" s="3" t="s">
        <v>1146</v>
      </c>
      <c r="B516" s="3" t="s">
        <v>145</v>
      </c>
      <c r="C516" s="3" t="s">
        <v>129</v>
      </c>
      <c r="D516" s="3" t="s">
        <v>21</v>
      </c>
      <c r="E516" s="3" t="s">
        <v>87</v>
      </c>
      <c r="F516" s="3">
        <v>37</v>
      </c>
      <c r="G516" s="3" t="s">
        <v>16</v>
      </c>
      <c r="H516" s="3" t="s">
        <v>429</v>
      </c>
      <c r="I516" s="3"/>
      <c r="J516" s="3" t="s">
        <v>17</v>
      </c>
      <c r="K516" s="3">
        <v>41483</v>
      </c>
    </row>
    <row r="517" spans="1:11">
      <c r="A517" s="3" t="s">
        <v>1147</v>
      </c>
      <c r="B517" s="3" t="s">
        <v>134</v>
      </c>
      <c r="C517" s="3" t="s">
        <v>129</v>
      </c>
      <c r="D517" s="3" t="s">
        <v>21</v>
      </c>
      <c r="E517" s="3" t="s">
        <v>87</v>
      </c>
      <c r="F517" s="3">
        <v>39</v>
      </c>
      <c r="G517" s="3" t="s">
        <v>23</v>
      </c>
      <c r="H517" s="3" t="s">
        <v>1148</v>
      </c>
      <c r="I517" s="3"/>
      <c r="J517" s="3" t="s">
        <v>17</v>
      </c>
      <c r="K517" s="3">
        <v>44482</v>
      </c>
    </row>
    <row r="518" spans="1:11">
      <c r="A518" s="3" t="s">
        <v>1149</v>
      </c>
      <c r="B518" s="3" t="s">
        <v>160</v>
      </c>
      <c r="C518" s="3" t="s">
        <v>63</v>
      </c>
      <c r="D518" s="3" t="s">
        <v>43</v>
      </c>
      <c r="E518" s="3" t="s">
        <v>44</v>
      </c>
      <c r="F518" s="3">
        <v>29</v>
      </c>
      <c r="G518" s="3" t="s">
        <v>16</v>
      </c>
      <c r="H518" s="3" t="s">
        <v>1150</v>
      </c>
      <c r="I518" s="3"/>
      <c r="J518" s="3" t="s">
        <v>17</v>
      </c>
      <c r="K518" s="3">
        <v>49117</v>
      </c>
    </row>
    <row r="519" spans="1:11">
      <c r="A519" s="3" t="s">
        <v>1151</v>
      </c>
      <c r="B519" s="3" t="s">
        <v>93</v>
      </c>
      <c r="C519" s="3" t="s">
        <v>13</v>
      </c>
      <c r="D519" s="3" t="s">
        <v>27</v>
      </c>
      <c r="E519" s="3" t="s">
        <v>28</v>
      </c>
      <c r="F519" s="3">
        <v>29</v>
      </c>
      <c r="G519" s="3" t="s">
        <v>23</v>
      </c>
      <c r="H519" s="3" t="s">
        <v>1152</v>
      </c>
      <c r="I519" s="3"/>
      <c r="J519" s="3" t="s">
        <v>17</v>
      </c>
      <c r="K519" s="3">
        <v>43585</v>
      </c>
    </row>
    <row r="520" spans="1:11">
      <c r="A520" s="3" t="s">
        <v>1153</v>
      </c>
      <c r="B520" s="3" t="s">
        <v>47</v>
      </c>
      <c r="C520" s="3" t="s">
        <v>169</v>
      </c>
      <c r="D520" s="3" t="s">
        <v>21</v>
      </c>
      <c r="E520" s="3" t="s">
        <v>95</v>
      </c>
      <c r="F520" s="3">
        <v>47</v>
      </c>
      <c r="G520" s="3" t="s">
        <v>16</v>
      </c>
      <c r="H520" s="3" t="s">
        <v>1154</v>
      </c>
      <c r="I520" s="3" t="s">
        <v>1155</v>
      </c>
      <c r="J520" s="3" t="s">
        <v>51</v>
      </c>
      <c r="K520" s="3">
        <v>40793</v>
      </c>
    </row>
    <row r="521" spans="1:11">
      <c r="A521" s="3" t="s">
        <v>1156</v>
      </c>
      <c r="B521" s="3" t="s">
        <v>288</v>
      </c>
      <c r="C521" s="3" t="s">
        <v>63</v>
      </c>
      <c r="D521" s="3" t="s">
        <v>21</v>
      </c>
      <c r="E521" s="3" t="s">
        <v>155</v>
      </c>
      <c r="F521" s="3">
        <v>26</v>
      </c>
      <c r="G521" s="3" t="s">
        <v>16</v>
      </c>
      <c r="H521" s="3" t="s">
        <v>1157</v>
      </c>
      <c r="I521" s="3"/>
      <c r="J521" s="3" t="s">
        <v>17</v>
      </c>
      <c r="K521" s="3">
        <v>74649</v>
      </c>
    </row>
    <row r="522" spans="1:11">
      <c r="A522" s="3" t="s">
        <v>1158</v>
      </c>
      <c r="B522" s="3" t="s">
        <v>73</v>
      </c>
      <c r="C522" s="3" t="s">
        <v>53</v>
      </c>
      <c r="D522" s="3" t="s">
        <v>14</v>
      </c>
      <c r="E522" s="3" t="s">
        <v>75</v>
      </c>
      <c r="F522" s="3">
        <v>21</v>
      </c>
      <c r="G522" s="3" t="s">
        <v>16</v>
      </c>
      <c r="H522" s="3" t="s">
        <v>710</v>
      </c>
      <c r="I522" s="3"/>
      <c r="J522" s="3" t="s">
        <v>17</v>
      </c>
      <c r="K522" s="3">
        <v>44064</v>
      </c>
    </row>
    <row r="523" spans="1:11">
      <c r="A523" s="3" t="s">
        <v>1159</v>
      </c>
      <c r="B523" s="3" t="s">
        <v>252</v>
      </c>
      <c r="C523" s="3" t="s">
        <v>103</v>
      </c>
      <c r="D523" s="3" t="s">
        <v>435</v>
      </c>
      <c r="E523" s="3" t="s">
        <v>34</v>
      </c>
      <c r="F523" s="3">
        <v>43</v>
      </c>
      <c r="G523" s="3" t="s">
        <v>16</v>
      </c>
      <c r="H523" s="3" t="s">
        <v>1160</v>
      </c>
      <c r="I523" s="3"/>
      <c r="J523" s="3" t="s">
        <v>17</v>
      </c>
      <c r="K523" s="3">
        <v>33696</v>
      </c>
    </row>
    <row r="524" spans="1:11">
      <c r="A524" s="3" t="s">
        <v>1161</v>
      </c>
      <c r="B524" s="3" t="s">
        <v>252</v>
      </c>
      <c r="C524" s="3" t="s">
        <v>146</v>
      </c>
      <c r="D524" s="3" t="s">
        <v>21</v>
      </c>
      <c r="E524" s="3" t="s">
        <v>87</v>
      </c>
      <c r="F524" s="3">
        <v>27</v>
      </c>
      <c r="G524" s="3" t="s">
        <v>16</v>
      </c>
      <c r="H524" s="3" t="s">
        <v>1162</v>
      </c>
      <c r="I524" s="3"/>
      <c r="J524" s="3" t="s">
        <v>17</v>
      </c>
      <c r="K524" s="3">
        <v>22936</v>
      </c>
    </row>
    <row r="525" spans="1:11">
      <c r="A525" s="3" t="s">
        <v>1163</v>
      </c>
      <c r="B525" s="3" t="s">
        <v>238</v>
      </c>
      <c r="C525" s="3" t="s">
        <v>103</v>
      </c>
      <c r="D525" s="3" t="s">
        <v>33</v>
      </c>
      <c r="E525" s="3" t="s">
        <v>34</v>
      </c>
      <c r="F525" s="3">
        <v>26</v>
      </c>
      <c r="G525" s="3" t="s">
        <v>16</v>
      </c>
      <c r="H525" s="3" t="s">
        <v>1164</v>
      </c>
      <c r="I525" s="3" t="s">
        <v>1165</v>
      </c>
      <c r="J525" s="3" t="s">
        <v>51</v>
      </c>
      <c r="K525" s="3">
        <v>35654</v>
      </c>
    </row>
    <row r="526" spans="1:11">
      <c r="A526" s="3" t="s">
        <v>1166</v>
      </c>
      <c r="B526" s="3" t="s">
        <v>125</v>
      </c>
      <c r="C526" s="3" t="s">
        <v>69</v>
      </c>
      <c r="D526" s="3" t="s">
        <v>21</v>
      </c>
      <c r="E526" s="3" t="s">
        <v>87</v>
      </c>
      <c r="F526" s="3">
        <v>41</v>
      </c>
      <c r="G526" s="3" t="s">
        <v>23</v>
      </c>
      <c r="H526" s="3" t="s">
        <v>497</v>
      </c>
      <c r="I526" s="3"/>
      <c r="J526" s="3" t="s">
        <v>17</v>
      </c>
      <c r="K526" s="3">
        <v>48675</v>
      </c>
    </row>
    <row r="527" spans="1:11">
      <c r="A527" s="3" t="s">
        <v>1167</v>
      </c>
      <c r="B527" s="3" t="s">
        <v>288</v>
      </c>
      <c r="C527" s="3" t="s">
        <v>129</v>
      </c>
      <c r="D527" s="3" t="s">
        <v>27</v>
      </c>
      <c r="E527" s="3" t="s">
        <v>54</v>
      </c>
      <c r="F527" s="3">
        <v>28</v>
      </c>
      <c r="G527" s="3" t="s">
        <v>16</v>
      </c>
      <c r="H527" s="3" t="s">
        <v>1168</v>
      </c>
      <c r="I527" s="3"/>
      <c r="J527" s="3" t="s">
        <v>17</v>
      </c>
      <c r="K527" s="3">
        <v>65450</v>
      </c>
    </row>
    <row r="528" spans="1:11">
      <c r="A528" s="3" t="s">
        <v>1169</v>
      </c>
      <c r="B528" s="3" t="s">
        <v>25</v>
      </c>
      <c r="C528" s="3" t="s">
        <v>174</v>
      </c>
      <c r="D528" s="3" t="s">
        <v>435</v>
      </c>
      <c r="E528" s="3" t="s">
        <v>34</v>
      </c>
      <c r="F528" s="3">
        <v>37</v>
      </c>
      <c r="G528" s="3" t="s">
        <v>23</v>
      </c>
      <c r="H528" s="3" t="s">
        <v>1170</v>
      </c>
      <c r="I528" s="3"/>
      <c r="J528" s="3" t="s">
        <v>17</v>
      </c>
      <c r="K528" s="3">
        <v>57104</v>
      </c>
    </row>
    <row r="529" spans="1:11">
      <c r="A529" s="3" t="s">
        <v>1171</v>
      </c>
      <c r="B529" s="3" t="s">
        <v>12</v>
      </c>
      <c r="C529" s="3" t="s">
        <v>174</v>
      </c>
      <c r="D529" s="3" t="s">
        <v>43</v>
      </c>
      <c r="E529" s="3" t="s">
        <v>70</v>
      </c>
      <c r="F529" s="3">
        <v>28</v>
      </c>
      <c r="G529" s="3" t="s">
        <v>23</v>
      </c>
      <c r="H529" s="3" t="s">
        <v>1172</v>
      </c>
      <c r="I529" s="3"/>
      <c r="J529" s="3" t="s">
        <v>17</v>
      </c>
      <c r="K529" s="3">
        <v>60505</v>
      </c>
    </row>
    <row r="530" spans="1:11">
      <c r="A530" s="3" t="s">
        <v>1173</v>
      </c>
      <c r="B530" s="3" t="s">
        <v>31</v>
      </c>
      <c r="C530" s="3" t="s">
        <v>177</v>
      </c>
      <c r="D530" s="3" t="s">
        <v>21</v>
      </c>
      <c r="E530" s="3" t="s">
        <v>155</v>
      </c>
      <c r="F530" s="3">
        <v>35</v>
      </c>
      <c r="G530" s="3" t="s">
        <v>23</v>
      </c>
      <c r="H530" s="3" t="s">
        <v>1174</v>
      </c>
      <c r="I530" s="3"/>
      <c r="J530" s="3" t="s">
        <v>17</v>
      </c>
      <c r="K530" s="3">
        <v>38719</v>
      </c>
    </row>
    <row r="531" spans="1:11">
      <c r="A531" s="3" t="s">
        <v>1175</v>
      </c>
      <c r="B531" s="3" t="s">
        <v>223</v>
      </c>
      <c r="C531" s="3" t="s">
        <v>26</v>
      </c>
      <c r="D531" s="3" t="s">
        <v>64</v>
      </c>
      <c r="E531" s="3" t="s">
        <v>266</v>
      </c>
      <c r="F531" s="3">
        <v>22</v>
      </c>
      <c r="G531" s="3" t="s">
        <v>16</v>
      </c>
      <c r="H531" s="3" t="s">
        <v>1176</v>
      </c>
      <c r="I531" s="3"/>
      <c r="J531" s="3" t="s">
        <v>17</v>
      </c>
      <c r="K531" s="3">
        <v>39060</v>
      </c>
    </row>
    <row r="532" spans="1:11">
      <c r="A532" s="3" t="s">
        <v>1177</v>
      </c>
      <c r="B532" s="3" t="s">
        <v>121</v>
      </c>
      <c r="C532" s="3" t="s">
        <v>42</v>
      </c>
      <c r="D532" s="3" t="s">
        <v>43</v>
      </c>
      <c r="E532" s="3" t="s">
        <v>70</v>
      </c>
      <c r="F532" s="3">
        <v>30</v>
      </c>
      <c r="G532" s="3" t="s">
        <v>16</v>
      </c>
      <c r="H532" s="3" t="s">
        <v>1178</v>
      </c>
      <c r="I532" s="3"/>
      <c r="J532" s="3" t="s">
        <v>17</v>
      </c>
      <c r="K532" s="3">
        <v>57335</v>
      </c>
    </row>
    <row r="533" spans="1:11">
      <c r="A533" s="3" t="s">
        <v>1179</v>
      </c>
      <c r="B533" s="3" t="s">
        <v>298</v>
      </c>
      <c r="C533" s="3" t="s">
        <v>74</v>
      </c>
      <c r="D533" s="3" t="s">
        <v>27</v>
      </c>
      <c r="E533" s="3" t="s">
        <v>122</v>
      </c>
      <c r="F533" s="3">
        <v>21</v>
      </c>
      <c r="G533" s="3" t="s">
        <v>16</v>
      </c>
      <c r="H533" s="3" t="s">
        <v>1180</v>
      </c>
      <c r="I533" s="3"/>
      <c r="J533" s="3" t="s">
        <v>17</v>
      </c>
      <c r="K533" s="3">
        <v>42672</v>
      </c>
    </row>
    <row r="534" spans="1:11">
      <c r="A534" s="3" t="s">
        <v>1181</v>
      </c>
      <c r="B534" s="3" t="s">
        <v>401</v>
      </c>
      <c r="C534" s="3" t="s">
        <v>20</v>
      </c>
      <c r="D534" s="3" t="s">
        <v>43</v>
      </c>
      <c r="E534" s="3" t="s">
        <v>44</v>
      </c>
      <c r="F534" s="3">
        <v>21</v>
      </c>
      <c r="G534" s="3" t="s">
        <v>23</v>
      </c>
      <c r="H534" s="4">
        <v>44823</v>
      </c>
      <c r="I534" s="3"/>
      <c r="J534" s="3" t="s">
        <v>17</v>
      </c>
      <c r="K534" s="3">
        <v>69752</v>
      </c>
    </row>
    <row r="535" spans="1:11">
      <c r="A535" s="3" t="s">
        <v>1182</v>
      </c>
      <c r="B535" s="3" t="s">
        <v>121</v>
      </c>
      <c r="C535" s="3" t="s">
        <v>113</v>
      </c>
      <c r="D535" s="3" t="s">
        <v>33</v>
      </c>
      <c r="E535" s="3" t="s">
        <v>34</v>
      </c>
      <c r="F535" s="3">
        <v>28</v>
      </c>
      <c r="G535" s="3" t="s">
        <v>23</v>
      </c>
      <c r="H535" s="3" t="s">
        <v>1183</v>
      </c>
      <c r="I535" s="3"/>
      <c r="J535" s="3" t="s">
        <v>17</v>
      </c>
      <c r="K535" s="3">
        <v>58027</v>
      </c>
    </row>
    <row r="536" spans="1:11">
      <c r="A536" s="3" t="s">
        <v>1184</v>
      </c>
      <c r="B536" s="3" t="s">
        <v>145</v>
      </c>
      <c r="C536" s="3" t="s">
        <v>164</v>
      </c>
      <c r="D536" s="3" t="s">
        <v>21</v>
      </c>
      <c r="E536" s="3" t="s">
        <v>155</v>
      </c>
      <c r="F536" s="3">
        <v>37</v>
      </c>
      <c r="G536" s="3" t="s">
        <v>16</v>
      </c>
      <c r="H536" s="3" t="s">
        <v>1185</v>
      </c>
      <c r="I536" s="3"/>
      <c r="J536" s="3" t="s">
        <v>17</v>
      </c>
      <c r="K536" s="3">
        <v>47820</v>
      </c>
    </row>
    <row r="537" spans="1:11">
      <c r="A537" s="3" t="s">
        <v>1186</v>
      </c>
      <c r="B537" s="3" t="s">
        <v>401</v>
      </c>
      <c r="C537" s="3" t="s">
        <v>63</v>
      </c>
      <c r="D537" s="3" t="s">
        <v>43</v>
      </c>
      <c r="E537" s="3" t="s">
        <v>70</v>
      </c>
      <c r="F537" s="3">
        <v>21</v>
      </c>
      <c r="G537" s="3" t="s">
        <v>23</v>
      </c>
      <c r="H537" s="3" t="s">
        <v>475</v>
      </c>
      <c r="I537" s="3" t="s">
        <v>1187</v>
      </c>
      <c r="J537" s="3" t="s">
        <v>51</v>
      </c>
      <c r="K537" s="3">
        <v>97972</v>
      </c>
    </row>
    <row r="538" spans="1:11">
      <c r="A538" s="3" t="s">
        <v>1188</v>
      </c>
      <c r="B538" s="3" t="s">
        <v>78</v>
      </c>
      <c r="C538" s="3" t="s">
        <v>42</v>
      </c>
      <c r="D538" s="3" t="s">
        <v>21</v>
      </c>
      <c r="E538" s="3" t="s">
        <v>22</v>
      </c>
      <c r="F538" s="3">
        <v>25</v>
      </c>
      <c r="G538" s="3" t="s">
        <v>16</v>
      </c>
      <c r="H538" s="3" t="s">
        <v>1189</v>
      </c>
      <c r="I538" s="3"/>
      <c r="J538" s="3" t="s">
        <v>17</v>
      </c>
      <c r="K538" s="3">
        <v>56991</v>
      </c>
    </row>
    <row r="539" spans="1:11">
      <c r="A539" s="3" t="s">
        <v>1190</v>
      </c>
      <c r="B539" s="3" t="s">
        <v>160</v>
      </c>
      <c r="C539" s="3" t="s">
        <v>94</v>
      </c>
      <c r="D539" s="3" t="s">
        <v>21</v>
      </c>
      <c r="E539" s="3" t="s">
        <v>95</v>
      </c>
      <c r="F539" s="3">
        <v>38</v>
      </c>
      <c r="G539" s="3" t="s">
        <v>16</v>
      </c>
      <c r="H539" s="3" t="s">
        <v>1191</v>
      </c>
      <c r="I539" s="3" t="s">
        <v>1192</v>
      </c>
      <c r="J539" s="3" t="s">
        <v>51</v>
      </c>
      <c r="K539" s="3">
        <v>101805</v>
      </c>
    </row>
    <row r="540" spans="1:11">
      <c r="A540" s="3" t="s">
        <v>1193</v>
      </c>
      <c r="B540" s="3" t="s">
        <v>134</v>
      </c>
      <c r="C540" s="3" t="s">
        <v>169</v>
      </c>
      <c r="D540" s="3" t="s">
        <v>64</v>
      </c>
      <c r="E540" s="3" t="s">
        <v>161</v>
      </c>
      <c r="F540" s="3">
        <v>34</v>
      </c>
      <c r="G540" s="3" t="s">
        <v>16</v>
      </c>
      <c r="H540" s="4">
        <v>45166</v>
      </c>
      <c r="I540" s="3"/>
      <c r="J540" s="3" t="s">
        <v>17</v>
      </c>
      <c r="K540" s="3">
        <v>35432</v>
      </c>
    </row>
    <row r="541" spans="1:11">
      <c r="A541" s="3" t="s">
        <v>1194</v>
      </c>
      <c r="B541" s="3" t="s">
        <v>12</v>
      </c>
      <c r="C541" s="3" t="s">
        <v>205</v>
      </c>
      <c r="D541" s="3" t="s">
        <v>43</v>
      </c>
      <c r="E541" s="3" t="s">
        <v>44</v>
      </c>
      <c r="F541" s="3">
        <v>27</v>
      </c>
      <c r="G541" s="3" t="s">
        <v>16</v>
      </c>
      <c r="H541" s="3" t="s">
        <v>1195</v>
      </c>
      <c r="I541" s="3"/>
      <c r="J541" s="3" t="s">
        <v>17</v>
      </c>
      <c r="K541" s="3">
        <v>47728</v>
      </c>
    </row>
    <row r="542" spans="1:11">
      <c r="A542" s="3" t="s">
        <v>1196</v>
      </c>
      <c r="B542" s="3" t="s">
        <v>82</v>
      </c>
      <c r="C542" s="3" t="s">
        <v>32</v>
      </c>
      <c r="D542" s="3" t="s">
        <v>14</v>
      </c>
      <c r="E542" s="3" t="s">
        <v>15</v>
      </c>
      <c r="F542" s="3">
        <v>21</v>
      </c>
      <c r="G542" s="3" t="s">
        <v>16</v>
      </c>
      <c r="H542" s="3" t="s">
        <v>1197</v>
      </c>
      <c r="I542" s="3" t="s">
        <v>1198</v>
      </c>
      <c r="J542" s="3" t="s">
        <v>51</v>
      </c>
      <c r="K542" s="3">
        <v>82369</v>
      </c>
    </row>
    <row r="543" spans="1:11">
      <c r="A543" s="3" t="s">
        <v>1199</v>
      </c>
      <c r="B543" s="3" t="s">
        <v>298</v>
      </c>
      <c r="C543" s="3" t="s">
        <v>63</v>
      </c>
      <c r="D543" s="3" t="s">
        <v>21</v>
      </c>
      <c r="E543" s="3" t="s">
        <v>87</v>
      </c>
      <c r="F543" s="3">
        <v>27</v>
      </c>
      <c r="G543" s="3" t="s">
        <v>23</v>
      </c>
      <c r="H543" s="3" t="s">
        <v>1200</v>
      </c>
      <c r="I543" s="3"/>
      <c r="J543" s="3" t="s">
        <v>17</v>
      </c>
      <c r="K543" s="3">
        <v>74302</v>
      </c>
    </row>
    <row r="544" spans="1:11">
      <c r="A544" s="3" t="s">
        <v>1201</v>
      </c>
      <c r="B544" s="3" t="s">
        <v>134</v>
      </c>
      <c r="C544" s="3" t="s">
        <v>213</v>
      </c>
      <c r="D544" s="3" t="s">
        <v>21</v>
      </c>
      <c r="E544" s="3" t="s">
        <v>22</v>
      </c>
      <c r="F544" s="3">
        <v>33</v>
      </c>
      <c r="G544" s="3" t="s">
        <v>23</v>
      </c>
      <c r="H544" s="3" t="s">
        <v>1202</v>
      </c>
      <c r="I544" s="3"/>
      <c r="J544" s="3" t="s">
        <v>17</v>
      </c>
      <c r="K544" s="3">
        <v>95374</v>
      </c>
    </row>
    <row r="545" spans="1:11">
      <c r="A545" s="3" t="s">
        <v>1203</v>
      </c>
      <c r="B545" s="3" t="s">
        <v>106</v>
      </c>
      <c r="C545" s="3" t="s">
        <v>20</v>
      </c>
      <c r="D545" s="3" t="s">
        <v>27</v>
      </c>
      <c r="E545" s="3" t="s">
        <v>122</v>
      </c>
      <c r="F545" s="3">
        <v>34</v>
      </c>
      <c r="G545" s="3" t="s">
        <v>16</v>
      </c>
      <c r="H545" s="3" t="s">
        <v>1204</v>
      </c>
      <c r="I545" s="3"/>
      <c r="J545" s="3" t="s">
        <v>17</v>
      </c>
      <c r="K545" s="3">
        <v>81991</v>
      </c>
    </row>
    <row r="546" spans="1:11">
      <c r="A546" s="3" t="s">
        <v>1205</v>
      </c>
      <c r="B546" s="3" t="s">
        <v>252</v>
      </c>
      <c r="C546" s="3" t="s">
        <v>59</v>
      </c>
      <c r="D546" s="3" t="s">
        <v>64</v>
      </c>
      <c r="E546" s="3" t="s">
        <v>161</v>
      </c>
      <c r="F546" s="3">
        <v>35</v>
      </c>
      <c r="G546" s="3" t="s">
        <v>23</v>
      </c>
      <c r="H546" s="3" t="s">
        <v>1206</v>
      </c>
      <c r="I546" s="3"/>
      <c r="J546" s="3" t="s">
        <v>17</v>
      </c>
      <c r="K546" s="3">
        <v>32743</v>
      </c>
    </row>
    <row r="547" spans="1:11">
      <c r="A547" s="3" t="s">
        <v>1207</v>
      </c>
      <c r="B547" s="3" t="s">
        <v>41</v>
      </c>
      <c r="C547" s="3" t="s">
        <v>135</v>
      </c>
      <c r="D547" s="3" t="s">
        <v>21</v>
      </c>
      <c r="E547" s="3" t="s">
        <v>155</v>
      </c>
      <c r="F547" s="3">
        <v>28</v>
      </c>
      <c r="G547" s="3" t="s">
        <v>16</v>
      </c>
      <c r="H547" s="3" t="s">
        <v>1208</v>
      </c>
      <c r="I547" s="3"/>
      <c r="J547" s="3" t="s">
        <v>17</v>
      </c>
      <c r="K547" s="3">
        <v>19684</v>
      </c>
    </row>
    <row r="548" spans="1:11">
      <c r="A548" s="3" t="s">
        <v>1209</v>
      </c>
      <c r="B548" s="3" t="s">
        <v>102</v>
      </c>
      <c r="C548" s="3" t="s">
        <v>63</v>
      </c>
      <c r="D548" s="3" t="s">
        <v>21</v>
      </c>
      <c r="E548" s="3" t="s">
        <v>87</v>
      </c>
      <c r="F548" s="3">
        <v>24</v>
      </c>
      <c r="G548" s="3" t="s">
        <v>16</v>
      </c>
      <c r="H548" s="3" t="s">
        <v>1210</v>
      </c>
      <c r="I548" s="3"/>
      <c r="J548" s="3" t="s">
        <v>17</v>
      </c>
      <c r="K548" s="3">
        <v>56677</v>
      </c>
    </row>
    <row r="549" spans="1:11">
      <c r="A549" s="3" t="s">
        <v>1211</v>
      </c>
      <c r="B549" s="3" t="s">
        <v>12</v>
      </c>
      <c r="C549" s="3" t="s">
        <v>42</v>
      </c>
      <c r="D549" s="3" t="s">
        <v>64</v>
      </c>
      <c r="E549" s="3" t="s">
        <v>161</v>
      </c>
      <c r="F549" s="3">
        <v>28</v>
      </c>
      <c r="G549" s="3" t="s">
        <v>23</v>
      </c>
      <c r="H549" s="3" t="s">
        <v>1212</v>
      </c>
      <c r="I549" s="3"/>
      <c r="J549" s="3" t="s">
        <v>17</v>
      </c>
      <c r="K549" s="3">
        <v>67049</v>
      </c>
    </row>
    <row r="550" spans="1:11">
      <c r="A550" s="3" t="s">
        <v>1213</v>
      </c>
      <c r="B550" s="3" t="s">
        <v>145</v>
      </c>
      <c r="C550" s="3" t="s">
        <v>20</v>
      </c>
      <c r="D550" s="3" t="s">
        <v>27</v>
      </c>
      <c r="E550" s="3" t="s">
        <v>28</v>
      </c>
      <c r="F550" s="3">
        <v>29</v>
      </c>
      <c r="G550" s="3" t="s">
        <v>16</v>
      </c>
      <c r="H550" s="3" t="s">
        <v>219</v>
      </c>
      <c r="I550" s="3"/>
      <c r="J550" s="3" t="s">
        <v>17</v>
      </c>
      <c r="K550" s="3">
        <v>77245</v>
      </c>
    </row>
    <row r="551" spans="1:11">
      <c r="A551" s="3" t="s">
        <v>1214</v>
      </c>
      <c r="B551" s="3" t="s">
        <v>468</v>
      </c>
      <c r="C551" s="3" t="s">
        <v>59</v>
      </c>
      <c r="D551" s="3" t="s">
        <v>21</v>
      </c>
      <c r="E551" s="3" t="s">
        <v>87</v>
      </c>
      <c r="F551" s="3">
        <v>38</v>
      </c>
      <c r="G551" s="3" t="s">
        <v>16</v>
      </c>
      <c r="H551" s="3" t="s">
        <v>303</v>
      </c>
      <c r="I551" s="3"/>
      <c r="J551" s="3" t="s">
        <v>17</v>
      </c>
      <c r="K551" s="3">
        <v>60054</v>
      </c>
    </row>
    <row r="552" spans="1:11">
      <c r="A552" s="3" t="s">
        <v>1215</v>
      </c>
      <c r="B552" s="3" t="s">
        <v>160</v>
      </c>
      <c r="C552" s="3" t="s">
        <v>205</v>
      </c>
      <c r="D552" s="3" t="s">
        <v>21</v>
      </c>
      <c r="E552" s="3" t="s">
        <v>22</v>
      </c>
      <c r="F552" s="3">
        <v>21</v>
      </c>
      <c r="G552" s="3" t="s">
        <v>23</v>
      </c>
      <c r="H552" s="3" t="s">
        <v>929</v>
      </c>
      <c r="I552" s="3"/>
      <c r="J552" s="3" t="s">
        <v>17</v>
      </c>
      <c r="K552" s="3">
        <v>60924</v>
      </c>
    </row>
    <row r="553" spans="1:11">
      <c r="A553" s="3" t="s">
        <v>1216</v>
      </c>
      <c r="B553" s="3" t="s">
        <v>238</v>
      </c>
      <c r="C553" s="3" t="s">
        <v>113</v>
      </c>
      <c r="D553" s="3" t="s">
        <v>21</v>
      </c>
      <c r="E553" s="3" t="s">
        <v>155</v>
      </c>
      <c r="F553" s="3">
        <v>38</v>
      </c>
      <c r="G553" s="3" t="s">
        <v>16</v>
      </c>
      <c r="H553" s="3" t="s">
        <v>1217</v>
      </c>
      <c r="I553" s="3"/>
      <c r="J553" s="3" t="s">
        <v>17</v>
      </c>
      <c r="K553" s="3">
        <v>55036</v>
      </c>
    </row>
    <row r="554" spans="1:11">
      <c r="A554" s="3" t="s">
        <v>1218</v>
      </c>
      <c r="B554" s="3" t="s">
        <v>93</v>
      </c>
      <c r="C554" s="3" t="s">
        <v>146</v>
      </c>
      <c r="D554" s="3" t="s">
        <v>64</v>
      </c>
      <c r="E554" s="3" t="s">
        <v>161</v>
      </c>
      <c r="F554">
        <v>32</v>
      </c>
      <c r="G554" s="3" t="s">
        <v>16</v>
      </c>
      <c r="H554" s="3" t="s">
        <v>1219</v>
      </c>
      <c r="I554" s="3" t="s">
        <v>1220</v>
      </c>
      <c r="J554" s="3" t="s">
        <v>51</v>
      </c>
      <c r="K554" s="3">
        <v>64765</v>
      </c>
    </row>
    <row r="555" spans="1:11">
      <c r="A555" s="3" t="s">
        <v>1221</v>
      </c>
      <c r="B555" s="3" t="s">
        <v>78</v>
      </c>
      <c r="C555" s="3" t="s">
        <v>63</v>
      </c>
      <c r="D555" s="3" t="s">
        <v>21</v>
      </c>
      <c r="E555" s="3" t="s">
        <v>95</v>
      </c>
      <c r="F555" s="3">
        <v>31</v>
      </c>
      <c r="G555" s="3" t="s">
        <v>16</v>
      </c>
      <c r="H555" s="3" t="s">
        <v>436</v>
      </c>
      <c r="I555" s="3" t="s">
        <v>1222</v>
      </c>
      <c r="J555" s="3" t="s">
        <v>51</v>
      </c>
      <c r="K555" s="3">
        <v>73208</v>
      </c>
    </row>
    <row r="556" spans="1:11">
      <c r="A556" s="3" t="s">
        <v>1223</v>
      </c>
      <c r="B556" s="3" t="s">
        <v>468</v>
      </c>
      <c r="C556" s="3" t="s">
        <v>249</v>
      </c>
      <c r="D556" s="3" t="s">
        <v>64</v>
      </c>
      <c r="E556" s="3" t="s">
        <v>65</v>
      </c>
      <c r="F556" s="3">
        <v>25</v>
      </c>
      <c r="G556" s="3" t="s">
        <v>16</v>
      </c>
      <c r="H556" s="3" t="s">
        <v>967</v>
      </c>
      <c r="I556" s="3" t="s">
        <v>1224</v>
      </c>
      <c r="J556" s="3" t="s">
        <v>51</v>
      </c>
      <c r="K556" s="3">
        <v>77267</v>
      </c>
    </row>
    <row r="557" spans="1:11">
      <c r="A557" s="3" t="s">
        <v>1225</v>
      </c>
      <c r="B557" s="3" t="s">
        <v>12</v>
      </c>
      <c r="C557" s="3" t="s">
        <v>74</v>
      </c>
      <c r="D557" s="3" t="s">
        <v>27</v>
      </c>
      <c r="E557" s="3" t="s">
        <v>54</v>
      </c>
      <c r="F557" s="3">
        <v>26</v>
      </c>
      <c r="G557" s="3" t="s">
        <v>23</v>
      </c>
      <c r="H557" s="3" t="s">
        <v>1226</v>
      </c>
      <c r="I557" s="3" t="s">
        <v>1227</v>
      </c>
      <c r="J557" s="3" t="s">
        <v>51</v>
      </c>
      <c r="K557" s="3">
        <v>59047</v>
      </c>
    </row>
    <row r="558" spans="1:11">
      <c r="A558" s="3" t="s">
        <v>1228</v>
      </c>
      <c r="B558" s="3" t="s">
        <v>401</v>
      </c>
      <c r="C558" s="3" t="s">
        <v>174</v>
      </c>
      <c r="D558" s="3" t="s">
        <v>809</v>
      </c>
      <c r="E558" s="3" t="s">
        <v>70</v>
      </c>
      <c r="F558" s="3"/>
      <c r="G558" s="3" t="s">
        <v>23</v>
      </c>
      <c r="H558" s="3" t="s">
        <v>1229</v>
      </c>
      <c r="I558" s="3"/>
      <c r="J558" s="3" t="s">
        <v>17</v>
      </c>
      <c r="K558" s="3">
        <v>38758</v>
      </c>
    </row>
    <row r="559" spans="1:11">
      <c r="A559" s="3" t="s">
        <v>1230</v>
      </c>
      <c r="B559" s="3" t="s">
        <v>19</v>
      </c>
      <c r="C559" s="3" t="s">
        <v>94</v>
      </c>
      <c r="D559" s="3" t="s">
        <v>43</v>
      </c>
      <c r="E559" s="3" t="s">
        <v>48</v>
      </c>
      <c r="F559" s="3">
        <v>27</v>
      </c>
      <c r="G559" s="3" t="s">
        <v>16</v>
      </c>
      <c r="H559" s="3" t="s">
        <v>1231</v>
      </c>
      <c r="I559" s="3"/>
      <c r="J559" s="3" t="s">
        <v>17</v>
      </c>
      <c r="K559" s="3">
        <v>55387</v>
      </c>
    </row>
    <row r="560" spans="1:11">
      <c r="A560" s="3" t="s">
        <v>1232</v>
      </c>
      <c r="B560" s="3" t="s">
        <v>58</v>
      </c>
      <c r="C560" s="3" t="s">
        <v>53</v>
      </c>
      <c r="D560" s="3" t="s">
        <v>27</v>
      </c>
      <c r="E560" s="3" t="s">
        <v>54</v>
      </c>
      <c r="F560" s="3">
        <v>23</v>
      </c>
      <c r="G560" s="3" t="s">
        <v>16</v>
      </c>
      <c r="H560" s="3" t="s">
        <v>1233</v>
      </c>
      <c r="I560" s="3"/>
      <c r="J560" s="3" t="s">
        <v>17</v>
      </c>
      <c r="K560" s="3">
        <v>26877</v>
      </c>
    </row>
    <row r="561" spans="1:11">
      <c r="A561" s="3" t="s">
        <v>1234</v>
      </c>
      <c r="B561" s="3" t="s">
        <v>238</v>
      </c>
      <c r="C561" s="3" t="s">
        <v>74</v>
      </c>
      <c r="D561" s="3" t="s">
        <v>43</v>
      </c>
      <c r="E561" s="3" t="s">
        <v>70</v>
      </c>
      <c r="F561" s="3">
        <v>40</v>
      </c>
      <c r="G561" s="3" t="s">
        <v>16</v>
      </c>
      <c r="H561" s="3" t="s">
        <v>1235</v>
      </c>
      <c r="I561" s="3"/>
      <c r="J561" s="3" t="s">
        <v>17</v>
      </c>
      <c r="K561" s="3">
        <v>54343</v>
      </c>
    </row>
    <row r="562" spans="1:11">
      <c r="A562" s="3" t="s">
        <v>1236</v>
      </c>
      <c r="B562" s="3" t="s">
        <v>141</v>
      </c>
      <c r="C562" s="3" t="s">
        <v>59</v>
      </c>
      <c r="D562" s="3" t="s">
        <v>64</v>
      </c>
      <c r="E562" s="3" t="s">
        <v>266</v>
      </c>
      <c r="F562" s="3">
        <v>23</v>
      </c>
      <c r="G562" s="3" t="s">
        <v>16</v>
      </c>
      <c r="H562" s="3" t="s">
        <v>1237</v>
      </c>
      <c r="I562" s="3"/>
      <c r="J562" s="3" t="s">
        <v>17</v>
      </c>
      <c r="K562" s="3">
        <v>40411</v>
      </c>
    </row>
    <row r="563" spans="1:11">
      <c r="A563" s="3" t="s">
        <v>1238</v>
      </c>
      <c r="B563" s="3" t="s">
        <v>86</v>
      </c>
      <c r="C563" s="3" t="s">
        <v>53</v>
      </c>
      <c r="D563" s="3" t="s">
        <v>27</v>
      </c>
      <c r="E563" s="3" t="s">
        <v>54</v>
      </c>
      <c r="F563" s="3">
        <v>37</v>
      </c>
      <c r="G563" s="3" t="s">
        <v>16</v>
      </c>
      <c r="H563" s="3" t="s">
        <v>1239</v>
      </c>
      <c r="I563" s="3"/>
      <c r="J563" s="3" t="s">
        <v>17</v>
      </c>
      <c r="K563" s="3">
        <v>39491</v>
      </c>
    </row>
    <row r="564" spans="1:11">
      <c r="A564" s="3" t="s">
        <v>1240</v>
      </c>
      <c r="B564" s="3" t="s">
        <v>134</v>
      </c>
      <c r="C564" s="3" t="s">
        <v>177</v>
      </c>
      <c r="D564" s="3" t="s">
        <v>27</v>
      </c>
      <c r="E564" s="3" t="s">
        <v>54</v>
      </c>
      <c r="F564" s="3">
        <v>47</v>
      </c>
      <c r="G564" s="3" t="s">
        <v>23</v>
      </c>
      <c r="H564" s="3" t="s">
        <v>1078</v>
      </c>
      <c r="I564" s="3" t="s">
        <v>1241</v>
      </c>
      <c r="J564" s="3" t="s">
        <v>51</v>
      </c>
      <c r="K564" s="3">
        <v>18000</v>
      </c>
    </row>
    <row r="565" spans="1:11">
      <c r="A565" s="3" t="s">
        <v>1242</v>
      </c>
      <c r="B565" s="3" t="s">
        <v>68</v>
      </c>
      <c r="C565" s="3" t="s">
        <v>94</v>
      </c>
      <c r="D565" s="3" t="s">
        <v>27</v>
      </c>
      <c r="E565" s="3" t="s">
        <v>28</v>
      </c>
      <c r="F565" s="3">
        <v>32</v>
      </c>
      <c r="G565" s="3" t="s">
        <v>23</v>
      </c>
      <c r="H565" s="3" t="s">
        <v>1243</v>
      </c>
      <c r="I565" s="3"/>
      <c r="J565" s="3" t="s">
        <v>17</v>
      </c>
      <c r="K565" s="3">
        <v>62302</v>
      </c>
    </row>
    <row r="566" spans="1:11">
      <c r="A566" s="3" t="s">
        <v>1244</v>
      </c>
      <c r="B566" s="3" t="s">
        <v>226</v>
      </c>
      <c r="C566" s="3" t="s">
        <v>13</v>
      </c>
      <c r="D566" s="3" t="s">
        <v>43</v>
      </c>
      <c r="E566" s="3" t="s">
        <v>48</v>
      </c>
      <c r="F566" s="3">
        <v>26</v>
      </c>
      <c r="G566" s="3" t="s">
        <v>16</v>
      </c>
      <c r="H566" s="3" t="s">
        <v>1245</v>
      </c>
      <c r="I566" s="3"/>
      <c r="J566" s="3" t="s">
        <v>17</v>
      </c>
      <c r="K566" s="3">
        <v>27262</v>
      </c>
    </row>
    <row r="567" spans="1:11">
      <c r="A567" s="3" t="s">
        <v>1246</v>
      </c>
      <c r="B567" s="3" t="s">
        <v>125</v>
      </c>
      <c r="C567" s="3" t="s">
        <v>129</v>
      </c>
      <c r="D567" s="3" t="s">
        <v>14</v>
      </c>
      <c r="E567" s="3" t="s">
        <v>15</v>
      </c>
      <c r="F567" s="3">
        <v>37</v>
      </c>
      <c r="G567" s="3" t="s">
        <v>23</v>
      </c>
      <c r="H567" s="3" t="s">
        <v>1247</v>
      </c>
      <c r="I567" s="3"/>
      <c r="J567" s="3" t="s">
        <v>17</v>
      </c>
      <c r="K567" s="3">
        <v>74447</v>
      </c>
    </row>
    <row r="568" spans="1:11">
      <c r="A568" s="3" t="s">
        <v>1248</v>
      </c>
      <c r="B568" s="3" t="s">
        <v>82</v>
      </c>
      <c r="C568" s="3" t="s">
        <v>213</v>
      </c>
      <c r="D568" s="3" t="s">
        <v>43</v>
      </c>
      <c r="E568" s="3" t="s">
        <v>48</v>
      </c>
      <c r="F568" s="3">
        <v>26</v>
      </c>
      <c r="G568" s="3" t="s">
        <v>23</v>
      </c>
      <c r="H568" s="3" t="s">
        <v>1249</v>
      </c>
      <c r="I568" s="3"/>
      <c r="J568" s="3" t="s">
        <v>17</v>
      </c>
      <c r="K568" s="3">
        <v>68147</v>
      </c>
    </row>
    <row r="569" spans="1:11">
      <c r="A569" s="3" t="s">
        <v>1250</v>
      </c>
      <c r="B569" s="3" t="s">
        <v>31</v>
      </c>
      <c r="C569" s="3" t="s">
        <v>20</v>
      </c>
      <c r="D569" s="3" t="s">
        <v>27</v>
      </c>
      <c r="E569" s="3" t="s">
        <v>28</v>
      </c>
      <c r="F569" s="3">
        <v>35</v>
      </c>
      <c r="G569" s="3" t="s">
        <v>23</v>
      </c>
      <c r="H569" s="3" t="s">
        <v>1148</v>
      </c>
      <c r="I569" s="3"/>
      <c r="J569" s="3" t="s">
        <v>17</v>
      </c>
      <c r="K569" s="3">
        <v>62888</v>
      </c>
    </row>
    <row r="570" spans="1:11">
      <c r="A570" s="3" t="s">
        <v>1251</v>
      </c>
      <c r="B570" s="3" t="s">
        <v>58</v>
      </c>
      <c r="C570" s="3" t="s">
        <v>20</v>
      </c>
      <c r="D570" s="3" t="s">
        <v>21</v>
      </c>
      <c r="E570" s="3" t="s">
        <v>22</v>
      </c>
      <c r="F570" s="3">
        <v>35</v>
      </c>
      <c r="G570" s="3" t="s">
        <v>16</v>
      </c>
      <c r="H570" s="3" t="s">
        <v>1252</v>
      </c>
      <c r="I570" s="3"/>
      <c r="J570" s="3" t="s">
        <v>17</v>
      </c>
      <c r="K570" s="3">
        <v>57208</v>
      </c>
    </row>
    <row r="571" spans="1:11">
      <c r="A571" s="3" t="s">
        <v>1253</v>
      </c>
      <c r="B571" s="3" t="s">
        <v>62</v>
      </c>
      <c r="C571" s="3" t="s">
        <v>53</v>
      </c>
      <c r="D571" s="3" t="s">
        <v>14</v>
      </c>
      <c r="E571" s="3" t="s">
        <v>15</v>
      </c>
      <c r="F571" s="3">
        <v>35</v>
      </c>
      <c r="G571" s="3" t="s">
        <v>23</v>
      </c>
      <c r="H571" s="3" t="s">
        <v>1254</v>
      </c>
      <c r="I571" s="3"/>
      <c r="J571" s="3" t="s">
        <v>17</v>
      </c>
      <c r="K571" s="3">
        <v>61849</v>
      </c>
    </row>
    <row r="572" spans="1:11">
      <c r="A572" s="3" t="s">
        <v>1255</v>
      </c>
      <c r="B572" s="3" t="s">
        <v>62</v>
      </c>
      <c r="C572" s="3" t="s">
        <v>26</v>
      </c>
      <c r="D572" s="3" t="s">
        <v>64</v>
      </c>
      <c r="E572" s="3" t="s">
        <v>161</v>
      </c>
      <c r="F572" s="3">
        <v>30</v>
      </c>
      <c r="G572" s="3" t="s">
        <v>23</v>
      </c>
      <c r="H572" s="3" t="s">
        <v>1256</v>
      </c>
      <c r="I572" s="3" t="s">
        <v>1257</v>
      </c>
      <c r="J572" s="3" t="s">
        <v>51</v>
      </c>
      <c r="K572" s="3">
        <v>32389</v>
      </c>
    </row>
    <row r="573" spans="1:11">
      <c r="A573" s="3" t="s">
        <v>1258</v>
      </c>
      <c r="B573" s="3" t="s">
        <v>160</v>
      </c>
      <c r="C573" s="3" t="s">
        <v>135</v>
      </c>
      <c r="D573" s="3" t="s">
        <v>14</v>
      </c>
      <c r="E573" s="3" t="s">
        <v>15</v>
      </c>
      <c r="F573" s="3">
        <v>29</v>
      </c>
      <c r="G573" s="3" t="s">
        <v>16</v>
      </c>
      <c r="H573" s="3" t="s">
        <v>1259</v>
      </c>
      <c r="I573" s="3"/>
      <c r="J573" s="3" t="s">
        <v>17</v>
      </c>
      <c r="K573" s="3">
        <v>32287</v>
      </c>
    </row>
    <row r="574" spans="1:11">
      <c r="A574" s="3" t="s">
        <v>1260</v>
      </c>
      <c r="B574" s="3" t="s">
        <v>86</v>
      </c>
      <c r="C574" s="3" t="s">
        <v>174</v>
      </c>
      <c r="D574" s="3" t="s">
        <v>43</v>
      </c>
      <c r="E574" s="3" t="s">
        <v>70</v>
      </c>
      <c r="F574" s="3">
        <v>27</v>
      </c>
      <c r="G574" s="3" t="s">
        <v>23</v>
      </c>
      <c r="H574" s="3" t="s">
        <v>1261</v>
      </c>
      <c r="I574" s="3"/>
      <c r="J574" s="3" t="s">
        <v>17</v>
      </c>
      <c r="K574" s="3">
        <v>57056</v>
      </c>
    </row>
    <row r="575" spans="1:11">
      <c r="A575" s="3" t="s">
        <v>1262</v>
      </c>
      <c r="B575" s="3" t="s">
        <v>152</v>
      </c>
      <c r="C575" s="3" t="s">
        <v>177</v>
      </c>
      <c r="D575" s="3" t="s">
        <v>64</v>
      </c>
      <c r="E575" s="3" t="s">
        <v>65</v>
      </c>
      <c r="F575" s="3">
        <v>26</v>
      </c>
      <c r="G575" s="3" t="s">
        <v>16</v>
      </c>
      <c r="H575" s="3" t="s">
        <v>1263</v>
      </c>
      <c r="I575" s="3"/>
      <c r="J575" s="3" t="s">
        <v>17</v>
      </c>
      <c r="K575" s="3">
        <v>64840</v>
      </c>
    </row>
    <row r="576" spans="1:11">
      <c r="A576" s="3" t="s">
        <v>1264</v>
      </c>
      <c r="B576" s="3" t="s">
        <v>223</v>
      </c>
      <c r="C576" s="3" t="s">
        <v>213</v>
      </c>
      <c r="D576" s="3" t="s">
        <v>33</v>
      </c>
      <c r="E576" s="3" t="s">
        <v>34</v>
      </c>
      <c r="F576" s="3">
        <v>35</v>
      </c>
      <c r="G576" s="3" t="s">
        <v>16</v>
      </c>
      <c r="H576" s="3" t="s">
        <v>1265</v>
      </c>
      <c r="I576" s="3"/>
      <c r="J576" s="3" t="s">
        <v>17</v>
      </c>
      <c r="K576" s="3">
        <v>51286</v>
      </c>
    </row>
    <row r="577" spans="1:11">
      <c r="A577" s="3" t="s">
        <v>1266</v>
      </c>
      <c r="B577" s="3" t="s">
        <v>90</v>
      </c>
      <c r="C577" s="3" t="s">
        <v>113</v>
      </c>
      <c r="D577" s="3" t="s">
        <v>43</v>
      </c>
      <c r="E577" s="3" t="s">
        <v>70</v>
      </c>
      <c r="F577" s="3">
        <v>42</v>
      </c>
      <c r="G577" s="3" t="s">
        <v>16</v>
      </c>
      <c r="H577" s="3" t="s">
        <v>1267</v>
      </c>
      <c r="I577" s="3" t="s">
        <v>1055</v>
      </c>
      <c r="J577" s="3" t="s">
        <v>51</v>
      </c>
      <c r="K577" s="3">
        <v>37792</v>
      </c>
    </row>
    <row r="578" spans="1:11">
      <c r="A578" s="3" t="s">
        <v>1268</v>
      </c>
      <c r="B578" s="3" t="s">
        <v>141</v>
      </c>
      <c r="C578" s="3" t="s">
        <v>63</v>
      </c>
      <c r="D578" s="3" t="s">
        <v>27</v>
      </c>
      <c r="E578" s="3" t="s">
        <v>28</v>
      </c>
      <c r="F578" s="3">
        <v>23</v>
      </c>
      <c r="G578" s="3" t="s">
        <v>23</v>
      </c>
      <c r="H578" s="3" t="s">
        <v>694</v>
      </c>
      <c r="I578" s="3" t="s">
        <v>1269</v>
      </c>
      <c r="J578" s="3" t="s">
        <v>51</v>
      </c>
      <c r="K578" s="3">
        <v>90612</v>
      </c>
    </row>
    <row r="579" spans="1:11">
      <c r="A579" s="3" t="s">
        <v>1270</v>
      </c>
      <c r="B579" s="3" t="s">
        <v>90</v>
      </c>
      <c r="C579" s="3" t="s">
        <v>205</v>
      </c>
      <c r="D579" s="3" t="s">
        <v>14</v>
      </c>
      <c r="E579" s="3" t="s">
        <v>75</v>
      </c>
      <c r="F579" s="3">
        <v>34</v>
      </c>
      <c r="G579" s="3" t="s">
        <v>16</v>
      </c>
      <c r="H579" s="3" t="s">
        <v>1271</v>
      </c>
      <c r="I579" s="3"/>
      <c r="J579" s="3" t="s">
        <v>17</v>
      </c>
      <c r="K579" s="3">
        <v>63642</v>
      </c>
    </row>
    <row r="580" spans="1:11">
      <c r="A580" s="3" t="s">
        <v>1272</v>
      </c>
      <c r="B580" s="3" t="s">
        <v>109</v>
      </c>
      <c r="C580" s="3" t="s">
        <v>69</v>
      </c>
      <c r="D580" s="3" t="s">
        <v>27</v>
      </c>
      <c r="E580" s="3" t="s">
        <v>54</v>
      </c>
      <c r="F580" s="3">
        <v>28</v>
      </c>
      <c r="G580" s="3" t="s">
        <v>16</v>
      </c>
      <c r="H580" s="3" t="s">
        <v>1273</v>
      </c>
      <c r="I580" s="3" t="s">
        <v>1274</v>
      </c>
      <c r="J580" s="3" t="s">
        <v>51</v>
      </c>
      <c r="K580" s="3">
        <v>61846</v>
      </c>
    </row>
    <row r="581" spans="1:11">
      <c r="A581" s="3" t="s">
        <v>1275</v>
      </c>
      <c r="B581" s="3" t="s">
        <v>160</v>
      </c>
      <c r="C581" s="3" t="s">
        <v>249</v>
      </c>
      <c r="D581" s="3" t="s">
        <v>27</v>
      </c>
      <c r="E581" s="3" t="s">
        <v>122</v>
      </c>
      <c r="F581" s="3">
        <v>21</v>
      </c>
      <c r="G581" s="3" t="s">
        <v>16</v>
      </c>
      <c r="H581" s="3" t="s">
        <v>1276</v>
      </c>
      <c r="I581" s="3"/>
      <c r="J581" s="3" t="s">
        <v>17</v>
      </c>
      <c r="K581" s="3">
        <v>35574</v>
      </c>
    </row>
    <row r="582" spans="1:11">
      <c r="A582" s="3" t="s">
        <v>1277</v>
      </c>
      <c r="B582" s="3" t="s">
        <v>160</v>
      </c>
      <c r="C582" s="3" t="s">
        <v>174</v>
      </c>
      <c r="D582" s="3" t="s">
        <v>21</v>
      </c>
      <c r="E582" s="3" t="s">
        <v>87</v>
      </c>
      <c r="F582" s="3">
        <v>52</v>
      </c>
      <c r="G582" s="3" t="s">
        <v>23</v>
      </c>
      <c r="H582" s="3" t="s">
        <v>883</v>
      </c>
      <c r="I582" s="3"/>
      <c r="J582" s="3" t="s">
        <v>17</v>
      </c>
      <c r="K582" s="3">
        <v>60290</v>
      </c>
    </row>
    <row r="583" spans="1:11">
      <c r="A583" s="3" t="s">
        <v>1278</v>
      </c>
      <c r="B583" s="3" t="s">
        <v>90</v>
      </c>
      <c r="C583" s="3" t="s">
        <v>69</v>
      </c>
      <c r="D583" s="3" t="s">
        <v>64</v>
      </c>
      <c r="E583" s="3" t="s">
        <v>266</v>
      </c>
      <c r="F583" s="3">
        <v>41</v>
      </c>
      <c r="G583" s="3" t="s">
        <v>16</v>
      </c>
      <c r="H583" s="3" t="s">
        <v>438</v>
      </c>
      <c r="I583" s="3"/>
      <c r="J583" s="3" t="s">
        <v>17</v>
      </c>
      <c r="K583" s="3">
        <v>81223</v>
      </c>
    </row>
    <row r="584" spans="1:11">
      <c r="A584" s="3" t="s">
        <v>1279</v>
      </c>
      <c r="B584" s="3" t="s">
        <v>58</v>
      </c>
      <c r="C584" s="3" t="s">
        <v>38</v>
      </c>
      <c r="D584" s="3" t="s">
        <v>43</v>
      </c>
      <c r="E584" s="3" t="s">
        <v>44</v>
      </c>
      <c r="F584" s="3">
        <v>29</v>
      </c>
      <c r="G584" s="3" t="s">
        <v>23</v>
      </c>
      <c r="H584" s="4">
        <v>44571</v>
      </c>
      <c r="I584" s="3"/>
      <c r="J584" s="3" t="s">
        <v>17</v>
      </c>
      <c r="K584" s="3">
        <v>46418</v>
      </c>
    </row>
    <row r="585" spans="1:11">
      <c r="A585" s="3" t="s">
        <v>1280</v>
      </c>
      <c r="B585" s="3" t="s">
        <v>121</v>
      </c>
      <c r="C585" s="3" t="s">
        <v>26</v>
      </c>
      <c r="D585" s="3" t="s">
        <v>21</v>
      </c>
      <c r="E585" s="3" t="s">
        <v>95</v>
      </c>
      <c r="F585" s="3">
        <v>30</v>
      </c>
      <c r="G585" s="3" t="s">
        <v>23</v>
      </c>
      <c r="H585" s="3" t="s">
        <v>868</v>
      </c>
      <c r="I585" s="3" t="s">
        <v>1281</v>
      </c>
      <c r="J585" s="3" t="s">
        <v>51</v>
      </c>
      <c r="K585" s="3">
        <v>71191</v>
      </c>
    </row>
    <row r="586" spans="1:11">
      <c r="A586" s="3" t="s">
        <v>1282</v>
      </c>
      <c r="B586" s="3" t="s">
        <v>121</v>
      </c>
      <c r="C586" s="3" t="s">
        <v>164</v>
      </c>
      <c r="D586" s="3" t="s">
        <v>21</v>
      </c>
      <c r="E586" s="3" t="s">
        <v>22</v>
      </c>
      <c r="F586" s="3">
        <v>21</v>
      </c>
      <c r="G586" s="3" t="s">
        <v>16</v>
      </c>
      <c r="H586" s="3" t="s">
        <v>1283</v>
      </c>
      <c r="I586" s="3" t="s">
        <v>1284</v>
      </c>
      <c r="J586" s="3" t="s">
        <v>51</v>
      </c>
      <c r="K586" s="3">
        <v>62100</v>
      </c>
    </row>
    <row r="587" spans="1:11">
      <c r="A587" s="3" t="s">
        <v>1285</v>
      </c>
      <c r="B587" s="3" t="s">
        <v>78</v>
      </c>
      <c r="C587" s="3" t="s">
        <v>164</v>
      </c>
      <c r="D587" s="3" t="s">
        <v>21</v>
      </c>
      <c r="E587" s="3" t="s">
        <v>22</v>
      </c>
      <c r="F587" s="3">
        <v>36</v>
      </c>
      <c r="G587" s="3" t="s">
        <v>23</v>
      </c>
      <c r="H587" s="3" t="s">
        <v>1010</v>
      </c>
      <c r="I587" s="3" t="s">
        <v>1286</v>
      </c>
      <c r="J587" s="3" t="s">
        <v>51</v>
      </c>
      <c r="K587" s="3">
        <v>64468</v>
      </c>
    </row>
    <row r="588" spans="1:11">
      <c r="A588" s="3" t="s">
        <v>1287</v>
      </c>
      <c r="B588" s="3" t="s">
        <v>238</v>
      </c>
      <c r="C588" s="3" t="s">
        <v>249</v>
      </c>
      <c r="D588" s="3" t="s">
        <v>27</v>
      </c>
      <c r="E588" s="3" t="s">
        <v>28</v>
      </c>
      <c r="F588" s="3">
        <v>28</v>
      </c>
      <c r="G588" s="3" t="s">
        <v>16</v>
      </c>
      <c r="H588" s="3" t="s">
        <v>1288</v>
      </c>
      <c r="I588" s="3"/>
      <c r="J588" s="3" t="s">
        <v>17</v>
      </c>
      <c r="K588" s="3">
        <v>46712</v>
      </c>
    </row>
    <row r="589" spans="1:11">
      <c r="A589" s="3" t="s">
        <v>1289</v>
      </c>
      <c r="B589" s="3" t="s">
        <v>226</v>
      </c>
      <c r="C589" s="3" t="s">
        <v>59</v>
      </c>
      <c r="D589" s="3" t="s">
        <v>64</v>
      </c>
      <c r="E589" s="3" t="s">
        <v>65</v>
      </c>
      <c r="F589" s="3">
        <v>26</v>
      </c>
      <c r="G589" s="3" t="s">
        <v>16</v>
      </c>
      <c r="H589" s="3" t="s">
        <v>1290</v>
      </c>
      <c r="I589" s="3" t="s">
        <v>614</v>
      </c>
      <c r="J589" s="3" t="s">
        <v>51</v>
      </c>
      <c r="K589" s="3">
        <v>73454</v>
      </c>
    </row>
    <row r="590" spans="1:11">
      <c r="A590" s="3" t="s">
        <v>1291</v>
      </c>
      <c r="B590" s="3" t="s">
        <v>145</v>
      </c>
      <c r="C590" s="3" t="s">
        <v>113</v>
      </c>
      <c r="D590" s="3" t="s">
        <v>14</v>
      </c>
      <c r="E590" s="3" t="s">
        <v>15</v>
      </c>
      <c r="F590" s="3">
        <v>28</v>
      </c>
      <c r="G590" s="3" t="s">
        <v>16</v>
      </c>
      <c r="H590" s="3" t="s">
        <v>1292</v>
      </c>
      <c r="I590" s="3"/>
      <c r="J590" s="3" t="s">
        <v>17</v>
      </c>
      <c r="K590" s="3">
        <v>59429</v>
      </c>
    </row>
    <row r="591" spans="1:11">
      <c r="A591" s="3" t="s">
        <v>1293</v>
      </c>
      <c r="B591" s="3" t="s">
        <v>98</v>
      </c>
      <c r="C591" s="3" t="s">
        <v>249</v>
      </c>
      <c r="D591" s="3" t="s">
        <v>27</v>
      </c>
      <c r="E591" s="3" t="s">
        <v>28</v>
      </c>
      <c r="F591" s="3">
        <v>23</v>
      </c>
      <c r="G591" s="3" t="s">
        <v>16</v>
      </c>
      <c r="H591" s="3" t="s">
        <v>1294</v>
      </c>
      <c r="I591" s="3" t="s">
        <v>367</v>
      </c>
      <c r="J591" s="3" t="s">
        <v>51</v>
      </c>
      <c r="K591" s="3">
        <v>57770</v>
      </c>
    </row>
    <row r="592" spans="1:11">
      <c r="A592" s="3" t="s">
        <v>1295</v>
      </c>
      <c r="B592" s="3" t="s">
        <v>19</v>
      </c>
      <c r="C592" s="3" t="s">
        <v>169</v>
      </c>
      <c r="D592" s="3" t="s">
        <v>21</v>
      </c>
      <c r="E592" s="3" t="s">
        <v>155</v>
      </c>
      <c r="F592" s="3">
        <v>33</v>
      </c>
      <c r="G592" s="3" t="s">
        <v>23</v>
      </c>
      <c r="H592" s="3" t="s">
        <v>330</v>
      </c>
      <c r="I592" s="3"/>
      <c r="J592" s="3" t="s">
        <v>17</v>
      </c>
      <c r="K592" s="3">
        <v>70903</v>
      </c>
    </row>
    <row r="593" spans="1:11">
      <c r="A593" s="3" t="s">
        <v>1296</v>
      </c>
      <c r="B593" s="3" t="s">
        <v>62</v>
      </c>
      <c r="C593" s="3" t="s">
        <v>20</v>
      </c>
      <c r="D593" s="3" t="s">
        <v>27</v>
      </c>
      <c r="E593" s="3" t="s">
        <v>122</v>
      </c>
      <c r="F593" s="3">
        <v>27</v>
      </c>
      <c r="G593" s="3" t="s">
        <v>16</v>
      </c>
      <c r="H593" s="3" t="s">
        <v>1297</v>
      </c>
      <c r="I593" s="3"/>
      <c r="J593" s="3" t="s">
        <v>17</v>
      </c>
      <c r="K593" s="3">
        <v>76216</v>
      </c>
    </row>
    <row r="594" spans="1:11">
      <c r="A594" s="3" t="s">
        <v>1298</v>
      </c>
      <c r="B594" s="3" t="s">
        <v>263</v>
      </c>
      <c r="C594" s="3" t="s">
        <v>20</v>
      </c>
      <c r="D594" s="3" t="s">
        <v>594</v>
      </c>
      <c r="E594" s="3" t="s">
        <v>266</v>
      </c>
      <c r="F594" s="3">
        <v>21</v>
      </c>
      <c r="G594" s="3" t="s">
        <v>23</v>
      </c>
      <c r="H594" s="4">
        <v>46162</v>
      </c>
      <c r="I594" s="3"/>
      <c r="J594" s="3" t="s">
        <v>17</v>
      </c>
      <c r="K594" s="3">
        <v>46119</v>
      </c>
    </row>
    <row r="595" spans="1:11">
      <c r="A595" s="3" t="s">
        <v>1299</v>
      </c>
      <c r="B595" s="3" t="s">
        <v>468</v>
      </c>
      <c r="C595" s="3" t="s">
        <v>42</v>
      </c>
      <c r="D595" s="3" t="s">
        <v>33</v>
      </c>
      <c r="E595" s="3" t="s">
        <v>79</v>
      </c>
      <c r="F595" s="3">
        <v>33</v>
      </c>
      <c r="G595" s="3" t="s">
        <v>23</v>
      </c>
      <c r="H595" s="3" t="s">
        <v>1300</v>
      </c>
      <c r="I595" s="3"/>
      <c r="J595" s="3" t="s">
        <v>17</v>
      </c>
      <c r="K595" s="3">
        <v>21510</v>
      </c>
    </row>
    <row r="596" spans="1:11">
      <c r="A596" s="3" t="s">
        <v>1301</v>
      </c>
      <c r="B596" s="3" t="s">
        <v>12</v>
      </c>
      <c r="C596" s="3" t="s">
        <v>169</v>
      </c>
      <c r="D596" s="3" t="s">
        <v>21</v>
      </c>
      <c r="E596" s="3" t="s">
        <v>155</v>
      </c>
      <c r="F596" s="3">
        <v>36</v>
      </c>
      <c r="G596" s="3" t="s">
        <v>16</v>
      </c>
      <c r="H596" s="3" t="s">
        <v>1302</v>
      </c>
      <c r="I596" s="3"/>
      <c r="J596" s="3" t="s">
        <v>17</v>
      </c>
      <c r="K596" s="3">
        <v>41331</v>
      </c>
    </row>
    <row r="597" spans="1:11">
      <c r="A597" s="3" t="s">
        <v>1303</v>
      </c>
      <c r="B597" s="3" t="s">
        <v>160</v>
      </c>
      <c r="C597" s="3" t="s">
        <v>169</v>
      </c>
      <c r="D597" s="3" t="s">
        <v>33</v>
      </c>
      <c r="E597" s="3" t="s">
        <v>79</v>
      </c>
      <c r="F597" s="3">
        <v>25</v>
      </c>
      <c r="G597" s="3" t="s">
        <v>16</v>
      </c>
      <c r="H597" s="3" t="s">
        <v>1304</v>
      </c>
      <c r="I597" s="3"/>
      <c r="J597" s="3" t="s">
        <v>17</v>
      </c>
      <c r="K597" s="3">
        <v>32379</v>
      </c>
    </row>
    <row r="598" spans="1:11">
      <c r="A598" s="3" t="s">
        <v>1305</v>
      </c>
      <c r="B598" s="3" t="s">
        <v>37</v>
      </c>
      <c r="C598" s="3" t="s">
        <v>63</v>
      </c>
      <c r="D598" s="3" t="s">
        <v>21</v>
      </c>
      <c r="E598" s="3" t="s">
        <v>22</v>
      </c>
      <c r="F598" s="3">
        <v>26</v>
      </c>
      <c r="G598" s="3" t="s">
        <v>23</v>
      </c>
      <c r="H598" s="3" t="s">
        <v>1306</v>
      </c>
      <c r="I598" s="3" t="s">
        <v>1307</v>
      </c>
      <c r="J598" s="3" t="s">
        <v>51</v>
      </c>
      <c r="K598" s="3">
        <v>18000</v>
      </c>
    </row>
    <row r="599" spans="1:11">
      <c r="A599" s="3" t="s">
        <v>1308</v>
      </c>
      <c r="B599" s="3" t="s">
        <v>109</v>
      </c>
      <c r="C599" s="3" t="s">
        <v>177</v>
      </c>
      <c r="D599" s="3" t="s">
        <v>27</v>
      </c>
      <c r="E599" s="3" t="s">
        <v>54</v>
      </c>
      <c r="F599" s="3">
        <v>27</v>
      </c>
      <c r="G599" s="3" t="s">
        <v>16</v>
      </c>
      <c r="H599" s="3" t="s">
        <v>1309</v>
      </c>
      <c r="I599" s="3" t="s">
        <v>1310</v>
      </c>
      <c r="J599" s="3" t="s">
        <v>51</v>
      </c>
      <c r="K599" s="3">
        <v>21100</v>
      </c>
    </row>
    <row r="600" spans="1:11">
      <c r="A600" s="3" t="s">
        <v>1311</v>
      </c>
      <c r="B600" s="3" t="s">
        <v>152</v>
      </c>
      <c r="C600" s="3" t="s">
        <v>20</v>
      </c>
      <c r="D600" s="3" t="s">
        <v>21</v>
      </c>
      <c r="E600" s="3" t="s">
        <v>95</v>
      </c>
      <c r="F600" s="3">
        <v>41</v>
      </c>
      <c r="G600" s="3" t="s">
        <v>16</v>
      </c>
      <c r="H600" s="3" t="s">
        <v>1312</v>
      </c>
      <c r="I600" s="3"/>
      <c r="J600" s="3" t="s">
        <v>17</v>
      </c>
      <c r="K600" s="3">
        <v>58233</v>
      </c>
    </row>
    <row r="601" spans="1:11">
      <c r="A601" s="3" t="s">
        <v>1313</v>
      </c>
      <c r="B601" s="3" t="s">
        <v>152</v>
      </c>
      <c r="C601" s="3" t="s">
        <v>94</v>
      </c>
      <c r="D601" s="3" t="s">
        <v>64</v>
      </c>
      <c r="E601" s="3" t="s">
        <v>161</v>
      </c>
      <c r="F601" s="3">
        <v>32</v>
      </c>
      <c r="G601" s="3" t="s">
        <v>23</v>
      </c>
      <c r="H601" s="3" t="s">
        <v>1314</v>
      </c>
      <c r="I601" s="3"/>
      <c r="J601" s="3" t="s">
        <v>17</v>
      </c>
      <c r="K601" s="3">
        <v>42046</v>
      </c>
    </row>
    <row r="602" spans="1:11">
      <c r="A602" s="3" t="s">
        <v>1315</v>
      </c>
      <c r="B602" s="3" t="s">
        <v>93</v>
      </c>
      <c r="C602" s="3" t="s">
        <v>69</v>
      </c>
      <c r="D602" s="3" t="s">
        <v>43</v>
      </c>
      <c r="E602" s="3" t="s">
        <v>44</v>
      </c>
      <c r="F602" s="3">
        <v>27</v>
      </c>
      <c r="G602" s="3" t="s">
        <v>16</v>
      </c>
      <c r="H602" s="3" t="s">
        <v>1316</v>
      </c>
      <c r="I602" s="3"/>
      <c r="J602" s="3" t="s">
        <v>17</v>
      </c>
      <c r="K602" s="3">
        <v>43421</v>
      </c>
    </row>
    <row r="603" spans="1:11">
      <c r="A603" s="3" t="s">
        <v>1317</v>
      </c>
      <c r="B603" s="3" t="s">
        <v>112</v>
      </c>
      <c r="C603" s="3" t="s">
        <v>135</v>
      </c>
      <c r="D603" s="3" t="s">
        <v>27</v>
      </c>
      <c r="E603" s="3" t="s">
        <v>28</v>
      </c>
      <c r="F603" s="3">
        <v>38</v>
      </c>
      <c r="G603" s="3" t="s">
        <v>16</v>
      </c>
      <c r="H603" s="3" t="s">
        <v>1318</v>
      </c>
      <c r="I603" s="3"/>
      <c r="J603" s="3" t="s">
        <v>17</v>
      </c>
      <c r="K603" s="3">
        <v>70129</v>
      </c>
    </row>
    <row r="604" spans="1:11">
      <c r="A604" s="3" t="s">
        <v>1319</v>
      </c>
      <c r="B604" s="3" t="s">
        <v>263</v>
      </c>
      <c r="C604" s="3" t="s">
        <v>169</v>
      </c>
      <c r="D604" s="3" t="s">
        <v>27</v>
      </c>
      <c r="E604" s="3" t="s">
        <v>28</v>
      </c>
      <c r="F604" s="3">
        <v>26</v>
      </c>
      <c r="G604" s="3" t="s">
        <v>23</v>
      </c>
      <c r="H604" s="3" t="s">
        <v>1320</v>
      </c>
      <c r="I604" s="3"/>
      <c r="J604" s="3" t="s">
        <v>17</v>
      </c>
      <c r="K604" s="3">
        <v>43525</v>
      </c>
    </row>
    <row r="605" spans="1:11">
      <c r="A605" s="3" t="s">
        <v>1321</v>
      </c>
      <c r="B605" s="3" t="s">
        <v>37</v>
      </c>
      <c r="C605" s="3" t="s">
        <v>83</v>
      </c>
      <c r="D605" s="3" t="s">
        <v>187</v>
      </c>
      <c r="E605" s="3" t="s">
        <v>95</v>
      </c>
      <c r="F605" s="3">
        <v>30</v>
      </c>
      <c r="G605" s="3" t="s">
        <v>23</v>
      </c>
      <c r="H605" s="3" t="s">
        <v>1322</v>
      </c>
      <c r="I605" s="3" t="s">
        <v>1323</v>
      </c>
      <c r="J605" s="3" t="s">
        <v>51</v>
      </c>
      <c r="K605" s="3">
        <v>107501</v>
      </c>
    </row>
    <row r="606" spans="1:11">
      <c r="A606" s="3" t="s">
        <v>1324</v>
      </c>
      <c r="B606" s="3" t="s">
        <v>106</v>
      </c>
      <c r="C606" s="3" t="s">
        <v>63</v>
      </c>
      <c r="D606" s="3" t="s">
        <v>27</v>
      </c>
      <c r="E606" s="3" t="s">
        <v>122</v>
      </c>
      <c r="F606" s="3">
        <v>40</v>
      </c>
      <c r="G606" s="3" t="s">
        <v>16</v>
      </c>
      <c r="H606" s="3" t="s">
        <v>1325</v>
      </c>
      <c r="I606" s="3"/>
      <c r="J606" s="3" t="s">
        <v>17</v>
      </c>
      <c r="K606" s="3">
        <v>19904</v>
      </c>
    </row>
    <row r="607" spans="1:11">
      <c r="A607" s="3" t="s">
        <v>1326</v>
      </c>
      <c r="B607" s="3" t="s">
        <v>134</v>
      </c>
      <c r="C607" s="3" t="s">
        <v>103</v>
      </c>
      <c r="D607" s="3" t="s">
        <v>21</v>
      </c>
      <c r="E607" s="3" t="s">
        <v>155</v>
      </c>
      <c r="F607" s="3">
        <v>32</v>
      </c>
      <c r="G607" s="3" t="s">
        <v>23</v>
      </c>
      <c r="H607" s="3" t="s">
        <v>1327</v>
      </c>
      <c r="I607" s="3"/>
      <c r="J607" s="3" t="s">
        <v>17</v>
      </c>
      <c r="K607" s="3">
        <v>54748</v>
      </c>
    </row>
    <row r="608" spans="1:11">
      <c r="A608" s="3" t="s">
        <v>1328</v>
      </c>
      <c r="B608" s="3" t="s">
        <v>12</v>
      </c>
      <c r="C608" s="3" t="s">
        <v>213</v>
      </c>
      <c r="D608" s="3" t="s">
        <v>33</v>
      </c>
      <c r="E608" s="3" t="s">
        <v>34</v>
      </c>
      <c r="F608" s="3">
        <v>36</v>
      </c>
      <c r="G608" s="3" t="s">
        <v>16</v>
      </c>
      <c r="H608" s="3" t="s">
        <v>1329</v>
      </c>
      <c r="I608" s="3"/>
      <c r="J608" s="3" t="s">
        <v>17</v>
      </c>
      <c r="K608" s="3">
        <v>50200</v>
      </c>
    </row>
    <row r="609" spans="1:11">
      <c r="A609" s="3" t="s">
        <v>1330</v>
      </c>
      <c r="B609" s="3" t="s">
        <v>468</v>
      </c>
      <c r="C609" s="3" t="s">
        <v>42</v>
      </c>
      <c r="D609" s="3" t="s">
        <v>33</v>
      </c>
      <c r="E609" s="3" t="s">
        <v>34</v>
      </c>
      <c r="F609" s="3">
        <v>45</v>
      </c>
      <c r="G609" s="3" t="s">
        <v>23</v>
      </c>
      <c r="H609" s="3" t="s">
        <v>1331</v>
      </c>
      <c r="I609" s="3"/>
      <c r="J609" s="3" t="s">
        <v>17</v>
      </c>
      <c r="K609" s="3">
        <v>36521</v>
      </c>
    </row>
    <row r="610" spans="1:11">
      <c r="A610" s="3" t="s">
        <v>1332</v>
      </c>
      <c r="B610" s="3" t="s">
        <v>216</v>
      </c>
      <c r="C610" s="3" t="s">
        <v>63</v>
      </c>
      <c r="D610" s="3" t="s">
        <v>43</v>
      </c>
      <c r="E610" s="3" t="s">
        <v>70</v>
      </c>
      <c r="F610" s="3">
        <v>31</v>
      </c>
      <c r="G610" s="3" t="s">
        <v>23</v>
      </c>
      <c r="H610" s="3" t="s">
        <v>1185</v>
      </c>
      <c r="I610" s="3"/>
      <c r="J610" s="3" t="s">
        <v>17</v>
      </c>
      <c r="K610" s="3">
        <v>56568</v>
      </c>
    </row>
    <row r="611" spans="1:11">
      <c r="A611" s="3" t="s">
        <v>1333</v>
      </c>
      <c r="B611" s="3" t="s">
        <v>468</v>
      </c>
      <c r="C611" s="3" t="s">
        <v>94</v>
      </c>
      <c r="D611" s="3" t="s">
        <v>64</v>
      </c>
      <c r="E611" s="3" t="s">
        <v>161</v>
      </c>
      <c r="F611" s="3">
        <v>25</v>
      </c>
      <c r="G611" s="3" t="s">
        <v>16</v>
      </c>
      <c r="H611" s="3" t="s">
        <v>927</v>
      </c>
      <c r="I611" s="3"/>
      <c r="J611" s="3" t="s">
        <v>17</v>
      </c>
      <c r="K611" s="3">
        <v>51171</v>
      </c>
    </row>
    <row r="612" spans="1:11">
      <c r="A612" s="3" t="s">
        <v>1334</v>
      </c>
      <c r="B612" s="3" t="s">
        <v>58</v>
      </c>
      <c r="C612" s="3" t="s">
        <v>113</v>
      </c>
      <c r="D612" s="3" t="s">
        <v>43</v>
      </c>
      <c r="E612" s="3" t="s">
        <v>48</v>
      </c>
      <c r="F612" s="3">
        <v>35</v>
      </c>
      <c r="G612" s="3" t="s">
        <v>16</v>
      </c>
      <c r="H612" s="3" t="s">
        <v>1335</v>
      </c>
      <c r="I612" s="3"/>
      <c r="J612" s="3" t="s">
        <v>17</v>
      </c>
      <c r="K612" s="3">
        <v>73845</v>
      </c>
    </row>
    <row r="613" spans="1:11">
      <c r="A613" s="3" t="s">
        <v>1336</v>
      </c>
      <c r="B613" s="3" t="s">
        <v>93</v>
      </c>
      <c r="C613" s="3" t="s">
        <v>169</v>
      </c>
      <c r="D613" s="3" t="s">
        <v>21</v>
      </c>
      <c r="E613" s="3" t="s">
        <v>95</v>
      </c>
      <c r="F613" s="3">
        <v>56</v>
      </c>
      <c r="G613" s="3" t="s">
        <v>16</v>
      </c>
      <c r="H613" s="3" t="s">
        <v>165</v>
      </c>
      <c r="I613" s="3" t="s">
        <v>1337</v>
      </c>
      <c r="J613" s="3" t="s">
        <v>51</v>
      </c>
      <c r="K613" s="3">
        <v>53109</v>
      </c>
    </row>
    <row r="614" spans="1:11">
      <c r="A614" s="3" t="s">
        <v>1338</v>
      </c>
      <c r="B614" s="3" t="s">
        <v>68</v>
      </c>
      <c r="C614" s="3" t="s">
        <v>164</v>
      </c>
      <c r="D614" s="3" t="s">
        <v>21</v>
      </c>
      <c r="E614" s="3" t="s">
        <v>95</v>
      </c>
      <c r="F614" s="3">
        <v>38</v>
      </c>
      <c r="G614" s="3" t="s">
        <v>16</v>
      </c>
      <c r="H614" s="3" t="s">
        <v>332</v>
      </c>
      <c r="I614" s="3"/>
      <c r="J614" s="3" t="s">
        <v>17</v>
      </c>
      <c r="K614" s="3">
        <v>23341</v>
      </c>
    </row>
    <row r="615" spans="1:11">
      <c r="A615" s="3" t="s">
        <v>1339</v>
      </c>
      <c r="B615" s="3" t="s">
        <v>68</v>
      </c>
      <c r="C615" s="3" t="s">
        <v>174</v>
      </c>
      <c r="D615" s="3" t="s">
        <v>33</v>
      </c>
      <c r="E615" s="3" t="s">
        <v>34</v>
      </c>
      <c r="F615" s="3">
        <v>24</v>
      </c>
      <c r="G615" s="3" t="s">
        <v>16</v>
      </c>
      <c r="H615" s="3" t="s">
        <v>1340</v>
      </c>
      <c r="I615" s="3"/>
      <c r="J615" s="3" t="s">
        <v>17</v>
      </c>
      <c r="K615" s="3">
        <v>61980</v>
      </c>
    </row>
    <row r="616" spans="1:11">
      <c r="A616" s="3" t="s">
        <v>1341</v>
      </c>
      <c r="B616" s="3" t="s">
        <v>468</v>
      </c>
      <c r="C616" s="3" t="s">
        <v>205</v>
      </c>
      <c r="D616" s="3" t="s">
        <v>27</v>
      </c>
      <c r="E616" s="3" t="s">
        <v>54</v>
      </c>
      <c r="F616" s="3">
        <v>26</v>
      </c>
      <c r="G616" s="3" t="s">
        <v>23</v>
      </c>
      <c r="H616" s="3" t="s">
        <v>1342</v>
      </c>
      <c r="I616" s="3"/>
      <c r="J616" s="3" t="s">
        <v>17</v>
      </c>
      <c r="K616" s="3">
        <v>53152</v>
      </c>
    </row>
    <row r="617" spans="1:11">
      <c r="A617" s="3" t="s">
        <v>1343</v>
      </c>
      <c r="B617" s="3" t="s">
        <v>134</v>
      </c>
      <c r="C617" s="3" t="s">
        <v>94</v>
      </c>
      <c r="D617" s="3" t="s">
        <v>64</v>
      </c>
      <c r="E617" s="3" t="s">
        <v>65</v>
      </c>
      <c r="F617" s="3">
        <v>21</v>
      </c>
      <c r="G617" s="3" t="s">
        <v>16</v>
      </c>
      <c r="H617" s="3" t="s">
        <v>1344</v>
      </c>
      <c r="I617" s="3"/>
      <c r="J617" s="3" t="s">
        <v>17</v>
      </c>
      <c r="K617" s="3">
        <v>51557</v>
      </c>
    </row>
    <row r="618" spans="1:11">
      <c r="A618" s="3" t="s">
        <v>1345</v>
      </c>
      <c r="B618" s="3" t="s">
        <v>125</v>
      </c>
      <c r="C618" s="3" t="s">
        <v>53</v>
      </c>
      <c r="D618" s="3" t="s">
        <v>43</v>
      </c>
      <c r="E618" s="3" t="s">
        <v>70</v>
      </c>
      <c r="F618" s="3">
        <v>39</v>
      </c>
      <c r="G618" s="3" t="s">
        <v>16</v>
      </c>
      <c r="H618" s="3" t="s">
        <v>1346</v>
      </c>
      <c r="I618" s="3"/>
      <c r="J618" s="3" t="s">
        <v>17</v>
      </c>
      <c r="K618" s="3">
        <v>41264</v>
      </c>
    </row>
    <row r="619" spans="1:11">
      <c r="A619" s="3" t="s">
        <v>1347</v>
      </c>
      <c r="B619" s="3" t="s">
        <v>141</v>
      </c>
      <c r="C619" s="3" t="s">
        <v>174</v>
      </c>
      <c r="D619" s="3" t="s">
        <v>99</v>
      </c>
      <c r="E619" s="3" t="s">
        <v>34</v>
      </c>
      <c r="F619" s="3">
        <v>25</v>
      </c>
      <c r="G619" s="3" t="s">
        <v>16</v>
      </c>
      <c r="H619" s="3" t="s">
        <v>1348</v>
      </c>
      <c r="I619" s="3"/>
      <c r="J619" s="3" t="s">
        <v>17</v>
      </c>
      <c r="K619" s="3">
        <v>79341</v>
      </c>
    </row>
    <row r="620" spans="1:11">
      <c r="A620" s="3" t="s">
        <v>1349</v>
      </c>
      <c r="B620" s="3" t="s">
        <v>19</v>
      </c>
      <c r="C620" s="3" t="s">
        <v>103</v>
      </c>
      <c r="D620" s="3" t="s">
        <v>43</v>
      </c>
      <c r="E620" s="3" t="s">
        <v>48</v>
      </c>
      <c r="F620" s="3">
        <v>25</v>
      </c>
      <c r="G620" s="3" t="s">
        <v>16</v>
      </c>
      <c r="H620" s="3" t="s">
        <v>1350</v>
      </c>
      <c r="I620" s="3"/>
      <c r="J620" s="3" t="s">
        <v>17</v>
      </c>
      <c r="K620" s="3">
        <v>67283</v>
      </c>
    </row>
    <row r="621" spans="1:11">
      <c r="A621" s="3" t="s">
        <v>1351</v>
      </c>
      <c r="B621" s="3" t="s">
        <v>86</v>
      </c>
      <c r="C621" s="3" t="s">
        <v>146</v>
      </c>
      <c r="D621" s="3" t="s">
        <v>64</v>
      </c>
      <c r="E621" s="3" t="s">
        <v>65</v>
      </c>
      <c r="F621" s="3">
        <v>29</v>
      </c>
      <c r="G621" s="3" t="s">
        <v>16</v>
      </c>
      <c r="H621" s="3" t="s">
        <v>1352</v>
      </c>
      <c r="I621" s="3"/>
      <c r="J621" s="3" t="s">
        <v>17</v>
      </c>
      <c r="K621" s="3">
        <v>79039</v>
      </c>
    </row>
    <row r="622" spans="1:11">
      <c r="A622" s="3" t="s">
        <v>911</v>
      </c>
      <c r="B622" s="3" t="s">
        <v>401</v>
      </c>
      <c r="C622" s="3" t="s">
        <v>83</v>
      </c>
      <c r="D622" s="3" t="s">
        <v>33</v>
      </c>
      <c r="E622" s="3" t="s">
        <v>79</v>
      </c>
      <c r="F622" s="3">
        <v>29</v>
      </c>
      <c r="G622" s="3" t="s">
        <v>16</v>
      </c>
      <c r="H622" s="3" t="s">
        <v>912</v>
      </c>
      <c r="I622" s="3" t="s">
        <v>913</v>
      </c>
      <c r="J622" s="3" t="s">
        <v>51</v>
      </c>
      <c r="K622" s="3">
        <v>38673</v>
      </c>
    </row>
    <row r="623" spans="1:11">
      <c r="A623" s="3" t="s">
        <v>1353</v>
      </c>
      <c r="B623" s="3" t="s">
        <v>109</v>
      </c>
      <c r="C623" s="3" t="s">
        <v>74</v>
      </c>
      <c r="D623" s="3" t="s">
        <v>64</v>
      </c>
      <c r="E623" s="3" t="s">
        <v>161</v>
      </c>
      <c r="F623" s="3">
        <v>36</v>
      </c>
      <c r="G623" s="3" t="s">
        <v>16</v>
      </c>
      <c r="H623" s="3" t="s">
        <v>1354</v>
      </c>
      <c r="I623" s="3" t="s">
        <v>1233</v>
      </c>
      <c r="J623" s="3" t="s">
        <v>51</v>
      </c>
      <c r="K623" s="3">
        <v>104314</v>
      </c>
    </row>
    <row r="624" spans="1:11">
      <c r="A624" s="3" t="s">
        <v>1355</v>
      </c>
      <c r="B624" s="3" t="s">
        <v>252</v>
      </c>
      <c r="C624" s="3" t="s">
        <v>205</v>
      </c>
      <c r="D624" s="3" t="s">
        <v>33</v>
      </c>
      <c r="E624" s="3" t="s">
        <v>34</v>
      </c>
      <c r="F624" s="3">
        <v>22</v>
      </c>
      <c r="G624" s="3" t="s">
        <v>16</v>
      </c>
      <c r="H624" s="3" t="s">
        <v>1356</v>
      </c>
      <c r="I624" s="3" t="s">
        <v>1357</v>
      </c>
      <c r="J624" s="3" t="s">
        <v>51</v>
      </c>
      <c r="K624" s="3">
        <v>45685</v>
      </c>
    </row>
    <row r="625" spans="1:11">
      <c r="A625" s="3" t="s">
        <v>1358</v>
      </c>
      <c r="B625" s="3" t="s">
        <v>160</v>
      </c>
      <c r="C625" s="3" t="s">
        <v>26</v>
      </c>
      <c r="D625" s="3" t="s">
        <v>43</v>
      </c>
      <c r="E625" s="3" t="s">
        <v>48</v>
      </c>
      <c r="F625" s="3">
        <v>49</v>
      </c>
      <c r="G625" s="3" t="s">
        <v>23</v>
      </c>
      <c r="H625" s="3" t="s">
        <v>1359</v>
      </c>
      <c r="I625" s="3"/>
      <c r="J625" s="3" t="s">
        <v>17</v>
      </c>
      <c r="K625" s="3">
        <v>49164</v>
      </c>
    </row>
    <row r="626" spans="1:11">
      <c r="A626" s="3" t="s">
        <v>1360</v>
      </c>
      <c r="B626" s="3" t="s">
        <v>41</v>
      </c>
      <c r="C626" s="3" t="s">
        <v>174</v>
      </c>
      <c r="D626" s="3" t="s">
        <v>27</v>
      </c>
      <c r="E626" s="3" t="s">
        <v>28</v>
      </c>
      <c r="F626" s="3">
        <v>22</v>
      </c>
      <c r="G626" s="3" t="s">
        <v>23</v>
      </c>
      <c r="H626" s="3" t="s">
        <v>1361</v>
      </c>
      <c r="I626" s="3"/>
      <c r="J626" s="3" t="s">
        <v>17</v>
      </c>
      <c r="K626" s="3">
        <v>62132</v>
      </c>
    </row>
    <row r="627" spans="1:11">
      <c r="A627" s="3" t="s">
        <v>1362</v>
      </c>
      <c r="B627" s="3" t="s">
        <v>12</v>
      </c>
      <c r="C627" s="3" t="s">
        <v>20</v>
      </c>
      <c r="D627" s="3" t="s">
        <v>43</v>
      </c>
      <c r="E627" s="3" t="s">
        <v>48</v>
      </c>
      <c r="F627" s="3">
        <v>33</v>
      </c>
      <c r="G627" s="3" t="s">
        <v>16</v>
      </c>
      <c r="H627" s="3" t="s">
        <v>1363</v>
      </c>
      <c r="I627" s="3"/>
      <c r="J627" s="3" t="s">
        <v>17</v>
      </c>
      <c r="K627" s="3">
        <v>27665</v>
      </c>
    </row>
    <row r="628" spans="1:11">
      <c r="A628" s="3" t="s">
        <v>1364</v>
      </c>
      <c r="B628" s="3" t="s">
        <v>109</v>
      </c>
      <c r="C628" s="3" t="s">
        <v>74</v>
      </c>
      <c r="D628" s="3" t="s">
        <v>64</v>
      </c>
      <c r="E628" s="3" t="s">
        <v>65</v>
      </c>
      <c r="F628" s="3">
        <v>28</v>
      </c>
      <c r="G628" s="3" t="s">
        <v>23</v>
      </c>
      <c r="H628" s="3" t="s">
        <v>969</v>
      </c>
      <c r="I628" s="3"/>
      <c r="J628" s="3" t="s">
        <v>17</v>
      </c>
      <c r="K628" s="3">
        <v>50002</v>
      </c>
    </row>
    <row r="629" spans="1:11">
      <c r="A629" s="3" t="s">
        <v>1365</v>
      </c>
      <c r="B629" s="3" t="s">
        <v>62</v>
      </c>
      <c r="C629" s="3" t="s">
        <v>164</v>
      </c>
      <c r="D629" s="3" t="s">
        <v>64</v>
      </c>
      <c r="E629" s="3" t="s">
        <v>161</v>
      </c>
      <c r="F629" s="3">
        <v>38</v>
      </c>
      <c r="G629" s="3" t="s">
        <v>16</v>
      </c>
      <c r="H629" s="3" t="s">
        <v>1366</v>
      </c>
      <c r="I629" s="3"/>
      <c r="J629" s="3" t="s">
        <v>17</v>
      </c>
      <c r="K629" s="3">
        <v>72192</v>
      </c>
    </row>
    <row r="630" spans="1:11">
      <c r="A630" s="3" t="s">
        <v>1367</v>
      </c>
      <c r="B630" s="3" t="s">
        <v>145</v>
      </c>
      <c r="C630" s="3" t="s">
        <v>59</v>
      </c>
      <c r="D630" s="3" t="s">
        <v>27</v>
      </c>
      <c r="E630" s="3" t="s">
        <v>54</v>
      </c>
      <c r="F630" s="3">
        <v>29</v>
      </c>
      <c r="G630" s="3" t="s">
        <v>16</v>
      </c>
      <c r="H630" s="3" t="s">
        <v>1368</v>
      </c>
      <c r="I630" s="3"/>
      <c r="J630" s="3" t="s">
        <v>17</v>
      </c>
      <c r="K630" s="3">
        <v>44400</v>
      </c>
    </row>
    <row r="631" spans="1:11">
      <c r="A631" s="3" t="s">
        <v>1369</v>
      </c>
      <c r="B631" s="3" t="s">
        <v>47</v>
      </c>
      <c r="C631" s="3" t="s">
        <v>213</v>
      </c>
      <c r="D631" s="3" t="s">
        <v>27</v>
      </c>
      <c r="E631" s="3" t="s">
        <v>28</v>
      </c>
      <c r="F631" s="3">
        <v>21</v>
      </c>
      <c r="G631" s="3" t="s">
        <v>23</v>
      </c>
      <c r="H631" s="3" t="s">
        <v>1370</v>
      </c>
      <c r="I631" s="3"/>
      <c r="J631" s="3" t="s">
        <v>17</v>
      </c>
      <c r="K631" s="3">
        <v>41473</v>
      </c>
    </row>
    <row r="632" spans="1:11">
      <c r="A632" s="3" t="s">
        <v>1371</v>
      </c>
      <c r="B632" s="3" t="s">
        <v>125</v>
      </c>
      <c r="C632" s="3" t="s">
        <v>20</v>
      </c>
      <c r="D632" s="3" t="s">
        <v>21</v>
      </c>
      <c r="E632" s="3" t="s">
        <v>22</v>
      </c>
      <c r="F632" s="3">
        <v>32</v>
      </c>
      <c r="G632" s="3" t="s">
        <v>16</v>
      </c>
      <c r="H632" s="3" t="s">
        <v>797</v>
      </c>
      <c r="I632" s="3"/>
      <c r="J632" s="3" t="s">
        <v>17</v>
      </c>
      <c r="K632" s="3">
        <v>37101</v>
      </c>
    </row>
    <row r="633" spans="1:11">
      <c r="A633" s="3" t="s">
        <v>1372</v>
      </c>
      <c r="B633" s="3" t="s">
        <v>238</v>
      </c>
      <c r="C633" s="3" t="s">
        <v>42</v>
      </c>
      <c r="D633" s="3" t="s">
        <v>187</v>
      </c>
      <c r="E633" s="3" t="s">
        <v>87</v>
      </c>
      <c r="F633" s="3">
        <v>29</v>
      </c>
      <c r="G633" s="3" t="s">
        <v>23</v>
      </c>
      <c r="H633" s="3" t="s">
        <v>1373</v>
      </c>
      <c r="I633" s="3"/>
      <c r="J633" s="3" t="s">
        <v>17</v>
      </c>
      <c r="K633" s="3">
        <v>18000</v>
      </c>
    </row>
    <row r="634" spans="1:11">
      <c r="A634" s="3" t="s">
        <v>1374</v>
      </c>
      <c r="B634" s="3" t="s">
        <v>216</v>
      </c>
      <c r="C634" s="3" t="s">
        <v>146</v>
      </c>
      <c r="D634" s="3" t="s">
        <v>43</v>
      </c>
      <c r="E634" s="3" t="s">
        <v>48</v>
      </c>
      <c r="F634" s="3">
        <v>36</v>
      </c>
      <c r="G634" s="3" t="s">
        <v>16</v>
      </c>
      <c r="H634" s="3" t="s">
        <v>1375</v>
      </c>
      <c r="I634" s="3"/>
      <c r="J634" s="3" t="s">
        <v>17</v>
      </c>
      <c r="K634" s="3">
        <v>63318</v>
      </c>
    </row>
    <row r="635" spans="1:11">
      <c r="A635" s="3" t="s">
        <v>1376</v>
      </c>
      <c r="B635" s="3" t="s">
        <v>160</v>
      </c>
      <c r="C635" s="3" t="s">
        <v>169</v>
      </c>
      <c r="D635" s="3" t="s">
        <v>27</v>
      </c>
      <c r="E635" s="3" t="s">
        <v>122</v>
      </c>
      <c r="F635" s="3">
        <v>43</v>
      </c>
      <c r="G635" s="3" t="s">
        <v>16</v>
      </c>
      <c r="H635" s="3" t="s">
        <v>1377</v>
      </c>
      <c r="I635" s="3"/>
      <c r="J635" s="3" t="s">
        <v>17</v>
      </c>
      <c r="K635" s="3">
        <v>51512</v>
      </c>
    </row>
    <row r="636" spans="1:11">
      <c r="A636" s="3" t="s">
        <v>1378</v>
      </c>
      <c r="B636" s="3" t="s">
        <v>25</v>
      </c>
      <c r="C636" s="3" t="s">
        <v>42</v>
      </c>
      <c r="D636" s="3" t="s">
        <v>43</v>
      </c>
      <c r="E636" s="3" t="s">
        <v>48</v>
      </c>
      <c r="F636" s="3">
        <v>23</v>
      </c>
      <c r="G636" s="3" t="s">
        <v>23</v>
      </c>
      <c r="H636" s="3" t="s">
        <v>1379</v>
      </c>
      <c r="I636" s="3"/>
      <c r="J636" s="3" t="s">
        <v>17</v>
      </c>
      <c r="K636" s="3">
        <v>47377</v>
      </c>
    </row>
    <row r="637" spans="1:11">
      <c r="A637" s="3" t="s">
        <v>1380</v>
      </c>
      <c r="B637" s="3" t="s">
        <v>102</v>
      </c>
      <c r="C637" s="3" t="s">
        <v>129</v>
      </c>
      <c r="D637" s="3" t="s">
        <v>21</v>
      </c>
      <c r="E637" s="3" t="s">
        <v>87</v>
      </c>
      <c r="F637" s="3">
        <v>23</v>
      </c>
      <c r="G637" s="3" t="s">
        <v>16</v>
      </c>
      <c r="H637" s="3" t="s">
        <v>1381</v>
      </c>
      <c r="I637" s="3"/>
      <c r="J637" s="3" t="s">
        <v>17</v>
      </c>
      <c r="K637" s="3">
        <v>57115</v>
      </c>
    </row>
    <row r="638" spans="1:11">
      <c r="A638" s="3" t="s">
        <v>1382</v>
      </c>
      <c r="B638" s="3" t="s">
        <v>238</v>
      </c>
      <c r="C638" s="3" t="s">
        <v>169</v>
      </c>
      <c r="D638" s="3" t="s">
        <v>27</v>
      </c>
      <c r="E638" s="3" t="s">
        <v>54</v>
      </c>
      <c r="F638" s="3">
        <v>28</v>
      </c>
      <c r="G638" s="3" t="s">
        <v>16</v>
      </c>
      <c r="H638" s="3" t="s">
        <v>1383</v>
      </c>
      <c r="I638" s="3"/>
      <c r="J638" s="3" t="s">
        <v>17</v>
      </c>
      <c r="K638" s="3">
        <v>76787</v>
      </c>
    </row>
    <row r="639" spans="1:11">
      <c r="A639" s="3" t="s">
        <v>1384</v>
      </c>
      <c r="B639" s="3" t="s">
        <v>106</v>
      </c>
      <c r="C639" s="3" t="s">
        <v>26</v>
      </c>
      <c r="D639" s="3" t="s">
        <v>43</v>
      </c>
      <c r="E639" s="3" t="s">
        <v>48</v>
      </c>
      <c r="F639" s="3">
        <v>31</v>
      </c>
      <c r="G639" s="3" t="s">
        <v>16</v>
      </c>
      <c r="H639" s="3" t="s">
        <v>1385</v>
      </c>
      <c r="I639" s="3"/>
      <c r="J639" s="3" t="s">
        <v>17</v>
      </c>
      <c r="K639" s="3">
        <v>83649</v>
      </c>
    </row>
    <row r="640" spans="1:11">
      <c r="A640" s="3" t="s">
        <v>1386</v>
      </c>
      <c r="B640" s="3" t="s">
        <v>82</v>
      </c>
      <c r="C640" s="3" t="s">
        <v>74</v>
      </c>
      <c r="D640" s="3" t="s">
        <v>33</v>
      </c>
      <c r="E640" s="3" t="s">
        <v>79</v>
      </c>
      <c r="F640" s="3">
        <v>39</v>
      </c>
      <c r="G640" s="3" t="s">
        <v>23</v>
      </c>
      <c r="H640" s="3" t="s">
        <v>1387</v>
      </c>
      <c r="I640" s="3"/>
      <c r="J640" s="3" t="s">
        <v>17</v>
      </c>
      <c r="K640" s="3">
        <v>57022</v>
      </c>
    </row>
    <row r="641" spans="1:11">
      <c r="A641" s="3" t="s">
        <v>1388</v>
      </c>
      <c r="B641" s="3" t="s">
        <v>134</v>
      </c>
      <c r="C641" s="3" t="s">
        <v>59</v>
      </c>
      <c r="D641" s="3" t="s">
        <v>1389</v>
      </c>
      <c r="E641" s="3" t="s">
        <v>15</v>
      </c>
      <c r="F641" s="3">
        <v>41</v>
      </c>
      <c r="G641" s="3" t="s">
        <v>16</v>
      </c>
      <c r="H641" s="3" t="s">
        <v>261</v>
      </c>
      <c r="I641" s="3"/>
      <c r="J641" s="3" t="s">
        <v>17</v>
      </c>
      <c r="K641" s="3">
        <v>44925</v>
      </c>
    </row>
    <row r="642" spans="1:11">
      <c r="A642" s="3" t="s">
        <v>1390</v>
      </c>
      <c r="B642" s="3" t="s">
        <v>58</v>
      </c>
      <c r="C642" s="3" t="s">
        <v>63</v>
      </c>
      <c r="D642" s="3" t="s">
        <v>64</v>
      </c>
      <c r="E642" s="3" t="s">
        <v>65</v>
      </c>
      <c r="F642" s="3">
        <v>32</v>
      </c>
      <c r="G642" s="3" t="s">
        <v>16</v>
      </c>
      <c r="H642" s="3" t="s">
        <v>1391</v>
      </c>
      <c r="I642" s="3"/>
      <c r="J642" s="3" t="s">
        <v>17</v>
      </c>
      <c r="K642" s="3">
        <v>53804</v>
      </c>
    </row>
    <row r="643" spans="1:11">
      <c r="A643" s="3" t="s">
        <v>1392</v>
      </c>
      <c r="B643" s="3" t="s">
        <v>468</v>
      </c>
      <c r="C643" s="3" t="s">
        <v>13</v>
      </c>
      <c r="D643" s="3" t="s">
        <v>43</v>
      </c>
      <c r="E643" s="3" t="s">
        <v>44</v>
      </c>
      <c r="F643" s="3">
        <v>21</v>
      </c>
      <c r="G643" s="3" t="s">
        <v>16</v>
      </c>
      <c r="H643" s="3" t="s">
        <v>1393</v>
      </c>
      <c r="I643" s="3"/>
      <c r="J643" s="3" t="s">
        <v>17</v>
      </c>
      <c r="K643" s="3">
        <v>60640</v>
      </c>
    </row>
    <row r="644" spans="1:11">
      <c r="A644" s="3" t="s">
        <v>1394</v>
      </c>
      <c r="B644" s="3" t="s">
        <v>298</v>
      </c>
      <c r="C644" s="3" t="s">
        <v>135</v>
      </c>
      <c r="D644" s="3" t="s">
        <v>64</v>
      </c>
      <c r="E644" s="3" t="s">
        <v>65</v>
      </c>
      <c r="F644" s="3">
        <v>39</v>
      </c>
      <c r="G644" s="3" t="s">
        <v>23</v>
      </c>
      <c r="H644" s="3" t="s">
        <v>1395</v>
      </c>
      <c r="I644" s="3"/>
      <c r="J644" s="3" t="s">
        <v>17</v>
      </c>
      <c r="K644" s="3">
        <v>47543</v>
      </c>
    </row>
    <row r="645" spans="1:11">
      <c r="A645" s="3" t="s">
        <v>1396</v>
      </c>
      <c r="B645" s="3" t="s">
        <v>12</v>
      </c>
      <c r="C645" s="3" t="s">
        <v>38</v>
      </c>
      <c r="D645" s="3" t="s">
        <v>435</v>
      </c>
      <c r="E645" s="3" t="s">
        <v>34</v>
      </c>
      <c r="F645" s="3">
        <v>36</v>
      </c>
      <c r="G645" s="3" t="s">
        <v>16</v>
      </c>
      <c r="H645" s="3" t="s">
        <v>1397</v>
      </c>
      <c r="I645" s="3"/>
      <c r="J645" s="3" t="s">
        <v>17</v>
      </c>
      <c r="K645" s="3">
        <v>39149</v>
      </c>
    </row>
    <row r="646" spans="1:11">
      <c r="A646" s="3" t="s">
        <v>1398</v>
      </c>
      <c r="B646" s="3" t="s">
        <v>121</v>
      </c>
      <c r="C646" s="3" t="s">
        <v>20</v>
      </c>
      <c r="D646" s="3" t="s">
        <v>43</v>
      </c>
      <c r="E646" s="3" t="s">
        <v>70</v>
      </c>
      <c r="F646" s="3">
        <v>33</v>
      </c>
      <c r="G646" s="3" t="s">
        <v>23</v>
      </c>
      <c r="H646" s="3" t="s">
        <v>1399</v>
      </c>
      <c r="I646" s="3"/>
      <c r="J646" s="3" t="s">
        <v>17</v>
      </c>
      <c r="K646" s="3">
        <v>41942</v>
      </c>
    </row>
    <row r="647" spans="1:11">
      <c r="A647" s="3" t="s">
        <v>1400</v>
      </c>
      <c r="B647" s="3" t="s">
        <v>37</v>
      </c>
      <c r="C647" s="3" t="s">
        <v>164</v>
      </c>
      <c r="D647" s="3" t="s">
        <v>21</v>
      </c>
      <c r="E647" s="3" t="s">
        <v>22</v>
      </c>
      <c r="F647" s="3">
        <v>49</v>
      </c>
      <c r="G647" s="3" t="s">
        <v>16</v>
      </c>
      <c r="H647" s="3" t="s">
        <v>1401</v>
      </c>
      <c r="I647" s="3"/>
      <c r="J647" s="3" t="s">
        <v>17</v>
      </c>
      <c r="K647" s="3">
        <v>79223</v>
      </c>
    </row>
    <row r="648" spans="1:11">
      <c r="A648" s="3" t="s">
        <v>1402</v>
      </c>
      <c r="B648" s="3" t="s">
        <v>468</v>
      </c>
      <c r="C648" s="3" t="s">
        <v>83</v>
      </c>
      <c r="D648" s="3" t="s">
        <v>14</v>
      </c>
      <c r="E648" s="3" t="s">
        <v>75</v>
      </c>
      <c r="F648" s="3">
        <v>37</v>
      </c>
      <c r="G648" s="3" t="s">
        <v>16</v>
      </c>
      <c r="H648" s="3" t="s">
        <v>1403</v>
      </c>
      <c r="I648" s="3"/>
      <c r="J648" s="3" t="s">
        <v>17</v>
      </c>
      <c r="K648" s="3">
        <v>57820</v>
      </c>
    </row>
    <row r="649" spans="1:11">
      <c r="A649" s="3" t="s">
        <v>1404</v>
      </c>
      <c r="B649" s="3" t="s">
        <v>86</v>
      </c>
      <c r="C649" s="3" t="s">
        <v>135</v>
      </c>
      <c r="D649" s="3" t="s">
        <v>21</v>
      </c>
      <c r="E649" s="3" t="s">
        <v>155</v>
      </c>
      <c r="F649" s="3">
        <v>24</v>
      </c>
      <c r="G649" s="3" t="s">
        <v>16</v>
      </c>
      <c r="H649" s="3" t="s">
        <v>1405</v>
      </c>
      <c r="I649" s="3"/>
      <c r="J649" s="3" t="s">
        <v>17</v>
      </c>
      <c r="K649" s="3">
        <v>50409</v>
      </c>
    </row>
    <row r="650" spans="1:11">
      <c r="A650" s="3" t="s">
        <v>1406</v>
      </c>
      <c r="B650" s="3" t="s">
        <v>93</v>
      </c>
      <c r="C650" s="3" t="s">
        <v>164</v>
      </c>
      <c r="D650" s="3" t="s">
        <v>43</v>
      </c>
      <c r="E650" s="3" t="s">
        <v>44</v>
      </c>
      <c r="F650" s="3">
        <v>37</v>
      </c>
      <c r="G650" s="3" t="s">
        <v>16</v>
      </c>
      <c r="H650" s="3" t="s">
        <v>1407</v>
      </c>
      <c r="I650" s="3"/>
      <c r="J650" s="3" t="s">
        <v>17</v>
      </c>
      <c r="K650" s="3">
        <v>66387</v>
      </c>
    </row>
    <row r="651" spans="1:11">
      <c r="A651" s="3" t="s">
        <v>1408</v>
      </c>
      <c r="B651" s="3" t="s">
        <v>252</v>
      </c>
      <c r="C651" s="3" t="s">
        <v>83</v>
      </c>
      <c r="D651" s="3" t="s">
        <v>21</v>
      </c>
      <c r="E651" s="3" t="s">
        <v>22</v>
      </c>
      <c r="F651" s="3">
        <v>31</v>
      </c>
      <c r="G651" s="3" t="s">
        <v>16</v>
      </c>
      <c r="H651" s="3" t="s">
        <v>620</v>
      </c>
      <c r="I651" s="3"/>
      <c r="J651" s="3" t="s">
        <v>17</v>
      </c>
      <c r="K651" s="3">
        <v>63292</v>
      </c>
    </row>
    <row r="652" spans="1:11">
      <c r="A652" s="3" t="s">
        <v>1409</v>
      </c>
      <c r="B652" s="3" t="s">
        <v>37</v>
      </c>
      <c r="C652" s="3" t="s">
        <v>249</v>
      </c>
      <c r="D652" s="3" t="s">
        <v>21</v>
      </c>
      <c r="E652" s="3" t="s">
        <v>95</v>
      </c>
      <c r="F652" s="3">
        <v>21</v>
      </c>
      <c r="G652" s="3" t="s">
        <v>16</v>
      </c>
      <c r="H652" s="3" t="s">
        <v>363</v>
      </c>
      <c r="I652" s="3"/>
      <c r="J652" s="3" t="s">
        <v>17</v>
      </c>
      <c r="K652" s="3">
        <v>47659</v>
      </c>
    </row>
    <row r="653" spans="1:11">
      <c r="A653" s="3" t="s">
        <v>1410</v>
      </c>
      <c r="B653" s="3" t="s">
        <v>93</v>
      </c>
      <c r="C653" s="3" t="s">
        <v>74</v>
      </c>
      <c r="D653" s="3" t="s">
        <v>21</v>
      </c>
      <c r="E653" s="3" t="s">
        <v>95</v>
      </c>
      <c r="F653" s="3">
        <v>27</v>
      </c>
      <c r="G653" s="3" t="s">
        <v>23</v>
      </c>
      <c r="H653" s="3" t="s">
        <v>1411</v>
      </c>
      <c r="I653" s="3"/>
      <c r="J653" s="3" t="s">
        <v>17</v>
      </c>
      <c r="K653" s="3">
        <v>23892</v>
      </c>
    </row>
    <row r="654" spans="1:11">
      <c r="A654" s="3" t="s">
        <v>1412</v>
      </c>
      <c r="B654" s="3" t="s">
        <v>186</v>
      </c>
      <c r="C654" s="3" t="s">
        <v>103</v>
      </c>
      <c r="D654" s="3" t="s">
        <v>33</v>
      </c>
      <c r="E654" s="3" t="s">
        <v>34</v>
      </c>
      <c r="F654" s="3">
        <v>40</v>
      </c>
      <c r="G654" s="3" t="s">
        <v>23</v>
      </c>
      <c r="H654" s="3" t="s">
        <v>1413</v>
      </c>
      <c r="I654" s="3" t="s">
        <v>1414</v>
      </c>
      <c r="J654" s="3" t="s">
        <v>51</v>
      </c>
      <c r="K654" s="3">
        <v>70323</v>
      </c>
    </row>
    <row r="655" spans="1:11">
      <c r="A655" s="3" t="s">
        <v>1415</v>
      </c>
      <c r="B655" s="3" t="s">
        <v>62</v>
      </c>
      <c r="C655" s="3" t="s">
        <v>42</v>
      </c>
      <c r="D655" s="3" t="s">
        <v>27</v>
      </c>
      <c r="E655" s="3" t="s">
        <v>54</v>
      </c>
      <c r="F655" s="3">
        <v>23</v>
      </c>
      <c r="G655" s="3" t="s">
        <v>23</v>
      </c>
      <c r="H655" s="3" t="s">
        <v>351</v>
      </c>
      <c r="I655" s="3"/>
      <c r="J655" s="3" t="s">
        <v>17</v>
      </c>
      <c r="K655" s="3">
        <v>54179</v>
      </c>
    </row>
    <row r="656" spans="1:11">
      <c r="A656" s="3" t="s">
        <v>1416</v>
      </c>
      <c r="B656" s="3" t="s">
        <v>86</v>
      </c>
      <c r="C656" s="3" t="s">
        <v>53</v>
      </c>
      <c r="D656" s="3" t="s">
        <v>321</v>
      </c>
      <c r="E656" s="3" t="s">
        <v>22</v>
      </c>
      <c r="F656" s="3">
        <v>23</v>
      </c>
      <c r="G656" s="3" t="s">
        <v>16</v>
      </c>
      <c r="H656" s="3" t="s">
        <v>1417</v>
      </c>
      <c r="I656" s="3"/>
      <c r="J656" s="3" t="s">
        <v>17</v>
      </c>
      <c r="K656" s="3">
        <v>78281</v>
      </c>
    </row>
    <row r="657" spans="1:11">
      <c r="A657" s="3" t="s">
        <v>1418</v>
      </c>
      <c r="B657" s="3" t="s">
        <v>186</v>
      </c>
      <c r="C657" s="3" t="s">
        <v>177</v>
      </c>
      <c r="D657" s="3" t="s">
        <v>64</v>
      </c>
      <c r="E657" s="3" t="s">
        <v>65</v>
      </c>
      <c r="F657" s="3">
        <v>36</v>
      </c>
      <c r="G657" s="3" t="s">
        <v>16</v>
      </c>
      <c r="H657" s="3" t="s">
        <v>1419</v>
      </c>
      <c r="I657" s="3" t="s">
        <v>1420</v>
      </c>
      <c r="J657" s="3" t="s">
        <v>51</v>
      </c>
      <c r="K657" s="3">
        <v>91632</v>
      </c>
    </row>
    <row r="658" spans="1:11">
      <c r="A658" s="3" t="s">
        <v>1421</v>
      </c>
      <c r="B658" s="3" t="s">
        <v>125</v>
      </c>
      <c r="C658" s="3" t="s">
        <v>164</v>
      </c>
      <c r="D658" s="3" t="s">
        <v>14</v>
      </c>
      <c r="E658" s="3" t="s">
        <v>75</v>
      </c>
      <c r="F658" s="3">
        <v>29</v>
      </c>
      <c r="G658" s="3" t="s">
        <v>23</v>
      </c>
      <c r="H658" s="3" t="s">
        <v>1422</v>
      </c>
      <c r="I658" s="3"/>
      <c r="J658" s="3" t="s">
        <v>17</v>
      </c>
      <c r="K658" s="3">
        <v>52851</v>
      </c>
    </row>
    <row r="659" spans="1:11">
      <c r="A659" s="3" t="s">
        <v>1423</v>
      </c>
      <c r="B659" s="3" t="s">
        <v>37</v>
      </c>
      <c r="C659" s="3" t="s">
        <v>146</v>
      </c>
      <c r="D659" s="3" t="s">
        <v>27</v>
      </c>
      <c r="E659" s="3" t="s">
        <v>28</v>
      </c>
      <c r="F659" s="3">
        <v>29</v>
      </c>
      <c r="G659" s="3" t="s">
        <v>16</v>
      </c>
      <c r="H659" s="3" t="s">
        <v>1424</v>
      </c>
      <c r="I659" s="3"/>
      <c r="J659" s="3" t="s">
        <v>17</v>
      </c>
      <c r="K659" s="3">
        <v>96114</v>
      </c>
    </row>
    <row r="660" spans="1:11">
      <c r="A660" s="3" t="s">
        <v>1425</v>
      </c>
      <c r="B660" s="3" t="s">
        <v>12</v>
      </c>
      <c r="C660" s="3" t="s">
        <v>26</v>
      </c>
      <c r="D660" s="3" t="s">
        <v>21</v>
      </c>
      <c r="E660" s="3" t="s">
        <v>87</v>
      </c>
      <c r="F660" s="3">
        <v>47</v>
      </c>
      <c r="G660" s="3" t="s">
        <v>23</v>
      </c>
      <c r="H660" s="3" t="s">
        <v>1426</v>
      </c>
      <c r="I660" s="3"/>
      <c r="J660" s="3" t="s">
        <v>17</v>
      </c>
      <c r="K660" s="3">
        <v>35411</v>
      </c>
    </row>
    <row r="661" spans="1:11">
      <c r="A661" s="3" t="s">
        <v>1427</v>
      </c>
      <c r="B661" s="3" t="s">
        <v>298</v>
      </c>
      <c r="C661" s="3" t="s">
        <v>177</v>
      </c>
      <c r="D661" s="3" t="s">
        <v>43</v>
      </c>
      <c r="E661" s="3" t="s">
        <v>70</v>
      </c>
      <c r="F661" s="3">
        <v>22</v>
      </c>
      <c r="G661" s="3" t="s">
        <v>23</v>
      </c>
      <c r="H661" s="3" t="s">
        <v>1428</v>
      </c>
      <c r="I661" s="3"/>
      <c r="J661" s="3" t="s">
        <v>17</v>
      </c>
      <c r="K661" s="3">
        <v>63433</v>
      </c>
    </row>
    <row r="662" spans="1:11">
      <c r="A662" s="3" t="s">
        <v>1429</v>
      </c>
      <c r="B662" s="3" t="s">
        <v>78</v>
      </c>
      <c r="C662" s="3" t="s">
        <v>135</v>
      </c>
      <c r="D662" s="3" t="s">
        <v>43</v>
      </c>
      <c r="E662" s="3" t="s">
        <v>48</v>
      </c>
      <c r="F662" s="3">
        <v>36</v>
      </c>
      <c r="G662" s="3" t="s">
        <v>23</v>
      </c>
      <c r="H662" s="3" t="s">
        <v>1430</v>
      </c>
      <c r="I662" s="3"/>
      <c r="J662" s="3" t="s">
        <v>17</v>
      </c>
      <c r="K662" s="3">
        <v>67240</v>
      </c>
    </row>
    <row r="663" spans="1:11">
      <c r="A663" s="3" t="s">
        <v>1431</v>
      </c>
      <c r="B663" s="3" t="s">
        <v>125</v>
      </c>
      <c r="C663" s="3" t="s">
        <v>63</v>
      </c>
      <c r="D663" s="3" t="s">
        <v>33</v>
      </c>
      <c r="E663" s="3" t="s">
        <v>34</v>
      </c>
      <c r="F663" s="3">
        <v>37</v>
      </c>
      <c r="G663" s="3" t="s">
        <v>16</v>
      </c>
      <c r="H663" s="3" t="s">
        <v>1432</v>
      </c>
      <c r="I663" s="3"/>
      <c r="J663" s="3" t="s">
        <v>17</v>
      </c>
      <c r="K663" s="3">
        <v>50383</v>
      </c>
    </row>
    <row r="664" spans="1:11">
      <c r="A664" s="3" t="s">
        <v>1433</v>
      </c>
      <c r="B664" s="3" t="s">
        <v>288</v>
      </c>
      <c r="C664" s="3" t="s">
        <v>177</v>
      </c>
      <c r="D664" s="3" t="s">
        <v>21</v>
      </c>
      <c r="E664" s="3" t="s">
        <v>155</v>
      </c>
      <c r="F664" s="3">
        <v>25</v>
      </c>
      <c r="G664" s="3" t="s">
        <v>23</v>
      </c>
      <c r="H664" s="3" t="s">
        <v>1434</v>
      </c>
      <c r="I664" s="3" t="s">
        <v>1435</v>
      </c>
      <c r="J664" s="3" t="s">
        <v>51</v>
      </c>
      <c r="K664" s="3">
        <v>56311</v>
      </c>
    </row>
    <row r="665" spans="1:11">
      <c r="A665" s="3" t="s">
        <v>1436</v>
      </c>
      <c r="B665" s="3" t="s">
        <v>141</v>
      </c>
      <c r="C665" s="3" t="s">
        <v>213</v>
      </c>
      <c r="D665" s="3" t="s">
        <v>64</v>
      </c>
      <c r="E665" s="3" t="s">
        <v>65</v>
      </c>
      <c r="F665" s="3">
        <v>30</v>
      </c>
      <c r="G665" s="3" t="s">
        <v>16</v>
      </c>
      <c r="H665" s="3" t="s">
        <v>1437</v>
      </c>
      <c r="I665" s="3"/>
      <c r="J665" s="3" t="s">
        <v>17</v>
      </c>
      <c r="K665" s="3">
        <v>36561</v>
      </c>
    </row>
    <row r="666" spans="1:11">
      <c r="A666" s="3" t="s">
        <v>1438</v>
      </c>
      <c r="B666" s="3" t="s">
        <v>47</v>
      </c>
      <c r="C666" s="3" t="s">
        <v>113</v>
      </c>
      <c r="D666" s="3" t="s">
        <v>21</v>
      </c>
      <c r="E666" s="3" t="s">
        <v>87</v>
      </c>
      <c r="F666" s="3">
        <v>26</v>
      </c>
      <c r="G666" s="3" t="s">
        <v>16</v>
      </c>
      <c r="H666" s="3" t="s">
        <v>1439</v>
      </c>
      <c r="I666" s="3"/>
      <c r="J666" s="3" t="s">
        <v>17</v>
      </c>
      <c r="K666" s="3">
        <v>84478</v>
      </c>
    </row>
    <row r="667" spans="1:11">
      <c r="A667" s="3" t="s">
        <v>1440</v>
      </c>
      <c r="B667" s="3" t="s">
        <v>134</v>
      </c>
      <c r="C667" s="3" t="s">
        <v>135</v>
      </c>
      <c r="D667" s="3" t="s">
        <v>33</v>
      </c>
      <c r="E667" s="3" t="s">
        <v>79</v>
      </c>
      <c r="F667" s="3">
        <v>29</v>
      </c>
      <c r="G667" s="3" t="s">
        <v>23</v>
      </c>
      <c r="H667" s="3" t="s">
        <v>1441</v>
      </c>
      <c r="I667" s="3"/>
      <c r="J667" s="3" t="s">
        <v>17</v>
      </c>
      <c r="K667" s="3">
        <v>31431</v>
      </c>
    </row>
    <row r="668" spans="1:11">
      <c r="A668" s="3" t="s">
        <v>1442</v>
      </c>
      <c r="B668" s="3" t="s">
        <v>121</v>
      </c>
      <c r="C668" s="3" t="s">
        <v>135</v>
      </c>
      <c r="D668" s="3" t="s">
        <v>21</v>
      </c>
      <c r="E668" s="3" t="s">
        <v>87</v>
      </c>
      <c r="F668">
        <v>32</v>
      </c>
      <c r="G668" s="3" t="s">
        <v>16</v>
      </c>
      <c r="H668" s="3" t="s">
        <v>1443</v>
      </c>
      <c r="I668" s="3"/>
      <c r="J668" s="3" t="s">
        <v>17</v>
      </c>
      <c r="K668" s="3">
        <v>48089</v>
      </c>
    </row>
    <row r="669" spans="1:11">
      <c r="A669" s="3" t="s">
        <v>1444</v>
      </c>
      <c r="B669" s="3" t="s">
        <v>121</v>
      </c>
      <c r="C669" s="3" t="s">
        <v>94</v>
      </c>
      <c r="D669" s="3" t="s">
        <v>43</v>
      </c>
      <c r="E669" s="3" t="s">
        <v>48</v>
      </c>
      <c r="F669" s="3">
        <v>33</v>
      </c>
      <c r="G669" s="3" t="s">
        <v>16</v>
      </c>
      <c r="H669" s="3" t="s">
        <v>1445</v>
      </c>
      <c r="I669" s="3" t="s">
        <v>1446</v>
      </c>
      <c r="J669" s="3" t="s">
        <v>51</v>
      </c>
      <c r="K669" s="3">
        <v>83606</v>
      </c>
    </row>
    <row r="670" spans="1:11">
      <c r="A670" s="3" t="s">
        <v>1447</v>
      </c>
      <c r="B670" s="3" t="s">
        <v>37</v>
      </c>
      <c r="C670" s="3" t="s">
        <v>169</v>
      </c>
      <c r="D670" s="3" t="s">
        <v>14</v>
      </c>
      <c r="E670" s="3" t="s">
        <v>75</v>
      </c>
      <c r="F670" s="3">
        <v>28</v>
      </c>
      <c r="G670" s="3" t="s">
        <v>23</v>
      </c>
      <c r="H670" s="3" t="s">
        <v>1448</v>
      </c>
      <c r="I670" s="3"/>
      <c r="J670" s="3" t="s">
        <v>17</v>
      </c>
      <c r="K670" s="3">
        <v>40342</v>
      </c>
    </row>
    <row r="671" spans="1:11">
      <c r="A671" s="3" t="s">
        <v>1449</v>
      </c>
      <c r="B671" s="3" t="s">
        <v>78</v>
      </c>
      <c r="C671" s="3" t="s">
        <v>174</v>
      </c>
      <c r="D671" s="3" t="s">
        <v>14</v>
      </c>
      <c r="E671" s="3" t="s">
        <v>75</v>
      </c>
      <c r="F671" s="3">
        <v>21</v>
      </c>
      <c r="G671" s="3" t="s">
        <v>16</v>
      </c>
      <c r="H671" s="3" t="s">
        <v>1450</v>
      </c>
      <c r="I671" s="3"/>
      <c r="J671" s="3" t="s">
        <v>17</v>
      </c>
      <c r="K671" s="3">
        <v>50036</v>
      </c>
    </row>
    <row r="672" spans="1:11">
      <c r="A672" s="3" t="s">
        <v>1451</v>
      </c>
      <c r="B672" s="3" t="s">
        <v>98</v>
      </c>
      <c r="C672" s="3" t="s">
        <v>59</v>
      </c>
      <c r="D672" s="3" t="s">
        <v>33</v>
      </c>
      <c r="E672" s="3" t="s">
        <v>79</v>
      </c>
      <c r="F672" s="3"/>
      <c r="G672" s="3" t="s">
        <v>23</v>
      </c>
      <c r="H672" s="3" t="s">
        <v>1452</v>
      </c>
      <c r="I672" s="3"/>
      <c r="J672" s="3" t="s">
        <v>17</v>
      </c>
      <c r="K672" s="3">
        <v>60854</v>
      </c>
    </row>
    <row r="673" spans="1:11">
      <c r="A673" s="3" t="s">
        <v>1453</v>
      </c>
      <c r="B673" s="3" t="s">
        <v>145</v>
      </c>
      <c r="C673" s="3" t="s">
        <v>20</v>
      </c>
      <c r="D673" s="3" t="s">
        <v>64</v>
      </c>
      <c r="E673" s="3" t="s">
        <v>161</v>
      </c>
      <c r="F673" s="3">
        <v>21</v>
      </c>
      <c r="G673" s="3" t="s">
        <v>23</v>
      </c>
      <c r="H673" s="3" t="s">
        <v>1454</v>
      </c>
      <c r="I673" s="3"/>
      <c r="J673" s="3" t="s">
        <v>17</v>
      </c>
      <c r="K673" s="3">
        <v>62985</v>
      </c>
    </row>
    <row r="674" spans="1:11">
      <c r="A674" s="3" t="s">
        <v>1455</v>
      </c>
      <c r="B674" s="3" t="s">
        <v>121</v>
      </c>
      <c r="C674" s="3" t="s">
        <v>69</v>
      </c>
      <c r="D674" s="3" t="s">
        <v>43</v>
      </c>
      <c r="E674" s="3" t="s">
        <v>48</v>
      </c>
      <c r="F674" s="3">
        <v>26</v>
      </c>
      <c r="G674" s="3" t="s">
        <v>16</v>
      </c>
      <c r="H674" s="3" t="s">
        <v>1456</v>
      </c>
      <c r="I674" s="3"/>
      <c r="J674" s="3" t="s">
        <v>17</v>
      </c>
      <c r="K674" s="3">
        <v>83256</v>
      </c>
    </row>
    <row r="675" spans="1:11">
      <c r="A675" s="3" t="s">
        <v>1457</v>
      </c>
      <c r="B675" s="3" t="s">
        <v>226</v>
      </c>
      <c r="C675" s="3" t="s">
        <v>63</v>
      </c>
      <c r="D675" s="3" t="s">
        <v>64</v>
      </c>
      <c r="E675" s="3" t="s">
        <v>266</v>
      </c>
      <c r="F675" s="3">
        <v>36</v>
      </c>
      <c r="G675" s="3" t="s">
        <v>23</v>
      </c>
      <c r="H675" s="3" t="s">
        <v>1458</v>
      </c>
      <c r="I675" s="3"/>
      <c r="J675" s="3" t="s">
        <v>17</v>
      </c>
      <c r="K675" s="3">
        <v>70057</v>
      </c>
    </row>
    <row r="676" spans="1:11">
      <c r="A676" s="3" t="s">
        <v>1459</v>
      </c>
      <c r="B676" s="3" t="s">
        <v>125</v>
      </c>
      <c r="C676" s="3" t="s">
        <v>249</v>
      </c>
      <c r="D676" s="3" t="s">
        <v>33</v>
      </c>
      <c r="E676" s="3" t="s">
        <v>34</v>
      </c>
      <c r="F676" s="3">
        <v>30</v>
      </c>
      <c r="G676" s="3" t="s">
        <v>16</v>
      </c>
      <c r="H676" s="3" t="s">
        <v>1460</v>
      </c>
      <c r="I676" s="3"/>
      <c r="J676" s="3" t="s">
        <v>17</v>
      </c>
      <c r="K676" s="3">
        <v>62234</v>
      </c>
    </row>
    <row r="677" spans="1:11">
      <c r="A677" s="3" t="s">
        <v>1461</v>
      </c>
      <c r="B677" s="3" t="s">
        <v>468</v>
      </c>
      <c r="C677" s="3" t="s">
        <v>94</v>
      </c>
      <c r="D677" s="3" t="s">
        <v>27</v>
      </c>
      <c r="E677" s="3" t="s">
        <v>28</v>
      </c>
      <c r="F677" s="3">
        <v>46</v>
      </c>
      <c r="G677" s="3" t="s">
        <v>16</v>
      </c>
      <c r="H677" s="3" t="s">
        <v>1462</v>
      </c>
      <c r="I677" s="3"/>
      <c r="J677" s="3" t="s">
        <v>17</v>
      </c>
      <c r="K677" s="3">
        <v>72287</v>
      </c>
    </row>
    <row r="678" spans="1:11">
      <c r="A678" s="3" t="s">
        <v>1463</v>
      </c>
      <c r="B678" s="3" t="s">
        <v>216</v>
      </c>
      <c r="C678" s="3" t="s">
        <v>94</v>
      </c>
      <c r="D678" s="3" t="s">
        <v>648</v>
      </c>
      <c r="E678" s="3" t="s">
        <v>266</v>
      </c>
      <c r="F678" s="3">
        <v>21</v>
      </c>
      <c r="G678" s="3" t="s">
        <v>16</v>
      </c>
      <c r="H678" s="3" t="s">
        <v>1464</v>
      </c>
      <c r="I678" s="3"/>
      <c r="J678" s="3" t="s">
        <v>17</v>
      </c>
      <c r="K678" s="3">
        <v>70692</v>
      </c>
    </row>
    <row r="679" spans="1:11">
      <c r="A679" s="3" t="s">
        <v>1465</v>
      </c>
      <c r="B679" s="3" t="s">
        <v>25</v>
      </c>
      <c r="C679" s="3" t="s">
        <v>103</v>
      </c>
      <c r="D679" s="3" t="s">
        <v>33</v>
      </c>
      <c r="E679" s="3" t="s">
        <v>34</v>
      </c>
      <c r="F679" s="3">
        <v>29</v>
      </c>
      <c r="G679" s="3" t="s">
        <v>16</v>
      </c>
      <c r="H679" s="3" t="s">
        <v>1466</v>
      </c>
      <c r="I679" s="3"/>
      <c r="J679" s="3" t="s">
        <v>17</v>
      </c>
      <c r="K679" s="3">
        <v>59225</v>
      </c>
    </row>
    <row r="680" spans="1:11">
      <c r="A680" s="3" t="s">
        <v>1467</v>
      </c>
      <c r="B680" s="3" t="s">
        <v>401</v>
      </c>
      <c r="C680" s="3" t="s">
        <v>83</v>
      </c>
      <c r="D680" s="3" t="s">
        <v>21</v>
      </c>
      <c r="E680" s="3" t="s">
        <v>95</v>
      </c>
      <c r="F680" s="3">
        <v>30</v>
      </c>
      <c r="G680" s="3" t="s">
        <v>23</v>
      </c>
      <c r="H680" s="3" t="s">
        <v>683</v>
      </c>
      <c r="I680" s="3"/>
      <c r="J680" s="3" t="s">
        <v>17</v>
      </c>
      <c r="K680" s="3">
        <v>92254</v>
      </c>
    </row>
    <row r="681" spans="1:11">
      <c r="A681" s="3" t="s">
        <v>1468</v>
      </c>
      <c r="B681" s="3" t="s">
        <v>31</v>
      </c>
      <c r="C681" s="3" t="s">
        <v>249</v>
      </c>
      <c r="D681" s="3" t="s">
        <v>99</v>
      </c>
      <c r="E681" s="3" t="s">
        <v>34</v>
      </c>
      <c r="F681" s="3">
        <v>22</v>
      </c>
      <c r="G681" s="3" t="s">
        <v>16</v>
      </c>
      <c r="H681" s="3" t="s">
        <v>1469</v>
      </c>
      <c r="I681" s="3"/>
      <c r="J681" s="3" t="s">
        <v>17</v>
      </c>
      <c r="K681" s="3">
        <v>73350</v>
      </c>
    </row>
    <row r="682" spans="1:11">
      <c r="A682" s="3" t="s">
        <v>1470</v>
      </c>
      <c r="B682" s="3" t="s">
        <v>12</v>
      </c>
      <c r="C682" s="3" t="s">
        <v>146</v>
      </c>
      <c r="D682" s="3" t="s">
        <v>27</v>
      </c>
      <c r="E682" s="3" t="s">
        <v>122</v>
      </c>
      <c r="F682" s="3">
        <v>51</v>
      </c>
      <c r="G682" s="3" t="s">
        <v>23</v>
      </c>
      <c r="H682" s="3" t="s">
        <v>1471</v>
      </c>
      <c r="I682" s="3"/>
      <c r="J682" s="3" t="s">
        <v>17</v>
      </c>
      <c r="K682" s="3">
        <v>75716</v>
      </c>
    </row>
    <row r="683" spans="1:11">
      <c r="A683" s="3" t="s">
        <v>1472</v>
      </c>
      <c r="B683" s="3" t="s">
        <v>73</v>
      </c>
      <c r="C683" s="3" t="s">
        <v>177</v>
      </c>
      <c r="D683" s="3" t="s">
        <v>21</v>
      </c>
      <c r="E683" s="3" t="s">
        <v>155</v>
      </c>
      <c r="F683" s="3">
        <v>27</v>
      </c>
      <c r="G683" s="3" t="s">
        <v>23</v>
      </c>
      <c r="H683" s="3" t="s">
        <v>1119</v>
      </c>
      <c r="I683" s="3"/>
      <c r="J683" s="3" t="s">
        <v>17</v>
      </c>
      <c r="K683" s="3">
        <v>50406</v>
      </c>
    </row>
    <row r="684" spans="1:11">
      <c r="A684" s="3" t="s">
        <v>1473</v>
      </c>
      <c r="B684" s="3" t="s">
        <v>82</v>
      </c>
      <c r="C684" s="3" t="s">
        <v>205</v>
      </c>
      <c r="D684" s="3" t="s">
        <v>33</v>
      </c>
      <c r="E684" s="3" t="s">
        <v>79</v>
      </c>
      <c r="F684" s="3">
        <v>21</v>
      </c>
      <c r="G684" s="3" t="s">
        <v>16</v>
      </c>
      <c r="H684" s="3" t="s">
        <v>610</v>
      </c>
      <c r="I684" s="3"/>
      <c r="J684" s="3" t="s">
        <v>17</v>
      </c>
      <c r="K684" s="3">
        <v>56918</v>
      </c>
    </row>
    <row r="685" spans="1:11">
      <c r="A685" s="3" t="s">
        <v>1474</v>
      </c>
      <c r="B685" s="3" t="s">
        <v>93</v>
      </c>
      <c r="C685" s="3" t="s">
        <v>213</v>
      </c>
      <c r="D685" s="3" t="s">
        <v>21</v>
      </c>
      <c r="E685" s="3" t="s">
        <v>155</v>
      </c>
      <c r="F685" s="3">
        <v>36</v>
      </c>
      <c r="G685" s="3" t="s">
        <v>16</v>
      </c>
      <c r="H685" s="3" t="s">
        <v>1475</v>
      </c>
      <c r="I685" s="3"/>
      <c r="J685" s="3" t="s">
        <v>17</v>
      </c>
      <c r="K685" s="3">
        <v>42941</v>
      </c>
    </row>
    <row r="686" spans="1:11">
      <c r="A686" s="3" t="s">
        <v>1476</v>
      </c>
      <c r="B686" s="3" t="s">
        <v>47</v>
      </c>
      <c r="C686" s="3" t="s">
        <v>42</v>
      </c>
      <c r="D686" s="3" t="s">
        <v>64</v>
      </c>
      <c r="E686" s="3" t="s">
        <v>266</v>
      </c>
      <c r="F686" s="3">
        <v>28</v>
      </c>
      <c r="G686" s="3" t="s">
        <v>23</v>
      </c>
      <c r="H686" s="3" t="s">
        <v>1477</v>
      </c>
      <c r="I686" s="3"/>
      <c r="J686" s="3" t="s">
        <v>17</v>
      </c>
      <c r="K686" s="3">
        <v>67565</v>
      </c>
    </row>
    <row r="687" spans="1:11">
      <c r="A687" s="3" t="s">
        <v>1478</v>
      </c>
      <c r="B687" s="3" t="s">
        <v>68</v>
      </c>
      <c r="C687" s="3" t="s">
        <v>38</v>
      </c>
      <c r="D687" s="3" t="s">
        <v>43</v>
      </c>
      <c r="E687" s="3" t="s">
        <v>44</v>
      </c>
      <c r="F687" s="3">
        <v>21</v>
      </c>
      <c r="G687" s="3" t="s">
        <v>16</v>
      </c>
      <c r="H687" s="3" t="s">
        <v>1479</v>
      </c>
      <c r="I687" s="3"/>
      <c r="J687" s="3" t="s">
        <v>17</v>
      </c>
      <c r="K687" s="3">
        <v>56863</v>
      </c>
    </row>
    <row r="688" spans="1:11">
      <c r="A688" s="3" t="s">
        <v>1480</v>
      </c>
      <c r="B688" s="3" t="s">
        <v>78</v>
      </c>
      <c r="C688" s="3" t="s">
        <v>38</v>
      </c>
      <c r="D688" s="3" t="s">
        <v>594</v>
      </c>
      <c r="E688" s="3" t="s">
        <v>161</v>
      </c>
      <c r="F688" s="3">
        <v>42</v>
      </c>
      <c r="G688" s="3" t="s">
        <v>16</v>
      </c>
      <c r="H688" s="3" t="s">
        <v>1481</v>
      </c>
      <c r="I688" s="3" t="s">
        <v>1022</v>
      </c>
      <c r="J688" s="3" t="s">
        <v>51</v>
      </c>
      <c r="K688" s="3">
        <v>33849</v>
      </c>
    </row>
    <row r="689" spans="1:11">
      <c r="A689" s="3" t="s">
        <v>1482</v>
      </c>
      <c r="B689" s="3" t="s">
        <v>78</v>
      </c>
      <c r="C689" s="3" t="s">
        <v>169</v>
      </c>
      <c r="D689" s="3" t="s">
        <v>64</v>
      </c>
      <c r="E689" s="3" t="s">
        <v>161</v>
      </c>
      <c r="F689" s="3">
        <v>29</v>
      </c>
      <c r="G689" s="3" t="s">
        <v>23</v>
      </c>
      <c r="H689" s="3" t="s">
        <v>457</v>
      </c>
      <c r="I689" s="3" t="s">
        <v>196</v>
      </c>
      <c r="J689" s="3" t="s">
        <v>51</v>
      </c>
      <c r="K689" s="3">
        <v>56607</v>
      </c>
    </row>
    <row r="690" spans="1:11">
      <c r="A690" s="3" t="s">
        <v>1483</v>
      </c>
      <c r="B690" s="3" t="s">
        <v>41</v>
      </c>
      <c r="C690" s="3" t="s">
        <v>59</v>
      </c>
      <c r="D690" s="3" t="s">
        <v>27</v>
      </c>
      <c r="E690" s="3" t="s">
        <v>122</v>
      </c>
      <c r="F690" s="3">
        <v>39</v>
      </c>
      <c r="G690" s="3" t="s">
        <v>16</v>
      </c>
      <c r="H690" s="3" t="s">
        <v>1484</v>
      </c>
      <c r="I690" s="3"/>
      <c r="J690" s="3" t="s">
        <v>17</v>
      </c>
      <c r="K690" s="3">
        <v>74873</v>
      </c>
    </row>
    <row r="691" spans="1:11">
      <c r="A691" s="3" t="s">
        <v>1485</v>
      </c>
      <c r="B691" s="3" t="s">
        <v>98</v>
      </c>
      <c r="C691" s="3" t="s">
        <v>63</v>
      </c>
      <c r="D691" s="3" t="s">
        <v>27</v>
      </c>
      <c r="E691" s="3" t="s">
        <v>54</v>
      </c>
      <c r="F691" s="3">
        <v>37</v>
      </c>
      <c r="G691" s="3" t="s">
        <v>23</v>
      </c>
      <c r="H691" s="3" t="s">
        <v>1486</v>
      </c>
      <c r="I691" s="3" t="s">
        <v>1487</v>
      </c>
      <c r="J691" s="3" t="s">
        <v>51</v>
      </c>
      <c r="K691" s="3">
        <v>65795</v>
      </c>
    </row>
    <row r="692" spans="1:11">
      <c r="A692" s="3" t="s">
        <v>1488</v>
      </c>
      <c r="B692" s="3" t="s">
        <v>12</v>
      </c>
      <c r="C692" s="3" t="s">
        <v>177</v>
      </c>
      <c r="D692" s="3" t="s">
        <v>33</v>
      </c>
      <c r="E692" s="3" t="s">
        <v>79</v>
      </c>
      <c r="F692" s="3">
        <v>29</v>
      </c>
      <c r="G692" s="3" t="s">
        <v>23</v>
      </c>
      <c r="H692" s="4">
        <v>44168</v>
      </c>
      <c r="I692" s="3"/>
      <c r="J692" s="3" t="s">
        <v>17</v>
      </c>
      <c r="K692" s="3">
        <v>58371</v>
      </c>
    </row>
    <row r="693" spans="1:11">
      <c r="A693" s="3" t="s">
        <v>1489</v>
      </c>
      <c r="B693" s="3" t="s">
        <v>223</v>
      </c>
      <c r="C693" s="3" t="s">
        <v>63</v>
      </c>
      <c r="D693" s="3" t="s">
        <v>64</v>
      </c>
      <c r="E693" s="3" t="s">
        <v>65</v>
      </c>
      <c r="F693" s="3">
        <v>29</v>
      </c>
      <c r="G693" s="3" t="s">
        <v>16</v>
      </c>
      <c r="H693" s="3" t="s">
        <v>1490</v>
      </c>
      <c r="I693" s="3"/>
      <c r="J693" s="3" t="s">
        <v>17</v>
      </c>
      <c r="K693" s="3">
        <v>66109</v>
      </c>
    </row>
    <row r="694" spans="1:11">
      <c r="A694" s="3" t="s">
        <v>1491</v>
      </c>
      <c r="B694" s="3" t="s">
        <v>288</v>
      </c>
      <c r="C694" s="3" t="s">
        <v>205</v>
      </c>
      <c r="D694" s="3" t="s">
        <v>27</v>
      </c>
      <c r="E694" s="3" t="s">
        <v>54</v>
      </c>
      <c r="F694" s="3">
        <v>23</v>
      </c>
      <c r="G694" s="3" t="s">
        <v>16</v>
      </c>
      <c r="H694" s="3" t="s">
        <v>830</v>
      </c>
      <c r="I694" s="3"/>
      <c r="J694" s="3" t="s">
        <v>17</v>
      </c>
      <c r="K694" s="3">
        <v>38575</v>
      </c>
    </row>
    <row r="695" spans="1:11">
      <c r="A695" s="3" t="s">
        <v>1492</v>
      </c>
      <c r="B695" s="3" t="s">
        <v>121</v>
      </c>
      <c r="C695" s="3" t="s">
        <v>213</v>
      </c>
      <c r="D695" s="3" t="s">
        <v>27</v>
      </c>
      <c r="E695" s="3" t="s">
        <v>54</v>
      </c>
      <c r="F695" s="3">
        <v>47</v>
      </c>
      <c r="G695" s="3" t="s">
        <v>16</v>
      </c>
      <c r="H695" s="3" t="s">
        <v>1493</v>
      </c>
      <c r="I695" s="3"/>
      <c r="J695" s="3" t="s">
        <v>17</v>
      </c>
      <c r="K695" s="3">
        <v>56800</v>
      </c>
    </row>
    <row r="696" spans="1:11">
      <c r="A696" s="3" t="s">
        <v>1494</v>
      </c>
      <c r="B696" s="3" t="s">
        <v>78</v>
      </c>
      <c r="C696" s="3" t="s">
        <v>38</v>
      </c>
      <c r="D696" s="3" t="s">
        <v>648</v>
      </c>
      <c r="E696" s="3" t="s">
        <v>161</v>
      </c>
      <c r="F696" s="3">
        <v>36</v>
      </c>
      <c r="G696" s="3" t="s">
        <v>16</v>
      </c>
      <c r="H696" s="3" t="s">
        <v>1495</v>
      </c>
      <c r="I696" s="3"/>
      <c r="J696" s="3" t="s">
        <v>17</v>
      </c>
      <c r="K696" s="3">
        <v>54452</v>
      </c>
    </row>
    <row r="697" spans="1:11">
      <c r="A697" s="3" t="s">
        <v>1496</v>
      </c>
      <c r="B697" s="3" t="s">
        <v>41</v>
      </c>
      <c r="C697" s="3" t="s">
        <v>38</v>
      </c>
      <c r="D697" s="3" t="s">
        <v>43</v>
      </c>
      <c r="E697" s="3" t="s">
        <v>48</v>
      </c>
      <c r="F697" s="3">
        <v>32</v>
      </c>
      <c r="G697" s="3" t="s">
        <v>23</v>
      </c>
      <c r="H697" s="3" t="s">
        <v>1274</v>
      </c>
      <c r="I697" s="3"/>
      <c r="J697" s="3" t="s">
        <v>17</v>
      </c>
      <c r="K697" s="3">
        <v>82397</v>
      </c>
    </row>
    <row r="698" spans="1:11">
      <c r="A698" s="3" t="s">
        <v>1497</v>
      </c>
      <c r="B698" s="3" t="s">
        <v>125</v>
      </c>
      <c r="C698" s="3" t="s">
        <v>129</v>
      </c>
      <c r="D698" s="3" t="s">
        <v>27</v>
      </c>
      <c r="E698" s="3" t="s">
        <v>122</v>
      </c>
      <c r="F698" s="3">
        <v>36</v>
      </c>
      <c r="G698" s="3" t="s">
        <v>16</v>
      </c>
      <c r="H698" s="3" t="s">
        <v>1498</v>
      </c>
      <c r="I698" s="3"/>
      <c r="J698" s="3" t="s">
        <v>17</v>
      </c>
      <c r="K698" s="3">
        <v>52036</v>
      </c>
    </row>
    <row r="699" spans="1:11">
      <c r="A699" s="3" t="s">
        <v>1499</v>
      </c>
      <c r="B699" s="3" t="s">
        <v>468</v>
      </c>
      <c r="C699" s="3" t="s">
        <v>13</v>
      </c>
      <c r="D699" s="3" t="s">
        <v>33</v>
      </c>
      <c r="E699" s="3" t="s">
        <v>34</v>
      </c>
      <c r="F699" s="3">
        <v>28</v>
      </c>
      <c r="G699" s="3" t="s">
        <v>16</v>
      </c>
      <c r="H699" s="3" t="s">
        <v>1500</v>
      </c>
      <c r="I699" s="3"/>
      <c r="J699" s="3" t="s">
        <v>17</v>
      </c>
      <c r="K699" s="3">
        <v>43127</v>
      </c>
    </row>
    <row r="700" spans="1:11">
      <c r="A700" s="3" t="s">
        <v>1501</v>
      </c>
      <c r="B700" s="3" t="s">
        <v>112</v>
      </c>
      <c r="C700" s="3" t="s">
        <v>174</v>
      </c>
      <c r="D700" s="3" t="s">
        <v>27</v>
      </c>
      <c r="E700" s="3" t="s">
        <v>28</v>
      </c>
      <c r="F700" s="3">
        <v>31</v>
      </c>
      <c r="G700" s="3" t="s">
        <v>23</v>
      </c>
      <c r="H700" s="3" t="s">
        <v>1502</v>
      </c>
      <c r="I700" s="3"/>
      <c r="J700" s="3" t="s">
        <v>17</v>
      </c>
      <c r="K700" s="3">
        <v>54099</v>
      </c>
    </row>
    <row r="701" spans="1:11">
      <c r="A701" s="3" t="s">
        <v>1503</v>
      </c>
      <c r="B701" s="3" t="s">
        <v>152</v>
      </c>
      <c r="C701" s="3" t="s">
        <v>83</v>
      </c>
      <c r="D701" s="3" t="s">
        <v>21</v>
      </c>
      <c r="E701" s="3" t="s">
        <v>155</v>
      </c>
      <c r="F701" s="3">
        <v>37</v>
      </c>
      <c r="G701" s="3" t="s">
        <v>16</v>
      </c>
      <c r="H701" s="3" t="s">
        <v>935</v>
      </c>
      <c r="I701" s="3"/>
      <c r="J701" s="3" t="s">
        <v>17</v>
      </c>
      <c r="K701" s="3">
        <v>45583</v>
      </c>
    </row>
    <row r="702" spans="1:11">
      <c r="A702" s="3" t="s">
        <v>1504</v>
      </c>
      <c r="B702" s="3" t="s">
        <v>128</v>
      </c>
      <c r="C702" s="3" t="s">
        <v>13</v>
      </c>
      <c r="D702" s="3" t="s">
        <v>43</v>
      </c>
      <c r="E702" s="3" t="s">
        <v>70</v>
      </c>
      <c r="F702" s="3">
        <v>21</v>
      </c>
      <c r="G702" s="3" t="s">
        <v>23</v>
      </c>
      <c r="H702" s="3" t="s">
        <v>1505</v>
      </c>
      <c r="I702" s="3"/>
      <c r="J702" s="3" t="s">
        <v>17</v>
      </c>
      <c r="K702" s="3">
        <v>85054</v>
      </c>
    </row>
    <row r="703" spans="1:11">
      <c r="A703" s="3" t="s">
        <v>1506</v>
      </c>
      <c r="B703" s="3" t="s">
        <v>106</v>
      </c>
      <c r="C703" s="3" t="s">
        <v>103</v>
      </c>
      <c r="D703" s="3" t="s">
        <v>43</v>
      </c>
      <c r="E703" s="3" t="s">
        <v>44</v>
      </c>
      <c r="F703" s="3">
        <v>32</v>
      </c>
      <c r="G703" s="3" t="s">
        <v>16</v>
      </c>
      <c r="H703" s="3" t="s">
        <v>779</v>
      </c>
      <c r="I703" s="3"/>
      <c r="J703" s="3" t="s">
        <v>17</v>
      </c>
      <c r="K703" s="3">
        <v>77126</v>
      </c>
    </row>
    <row r="704" spans="1:11">
      <c r="A704" s="3" t="s">
        <v>1507</v>
      </c>
      <c r="B704" s="3" t="s">
        <v>152</v>
      </c>
      <c r="C704" s="3" t="s">
        <v>74</v>
      </c>
      <c r="D704" s="3" t="s">
        <v>43</v>
      </c>
      <c r="E704" s="3" t="s">
        <v>70</v>
      </c>
      <c r="F704" s="3">
        <v>33</v>
      </c>
      <c r="G704" s="3" t="s">
        <v>16</v>
      </c>
      <c r="H704" s="3" t="s">
        <v>1508</v>
      </c>
      <c r="I704" s="3" t="s">
        <v>359</v>
      </c>
      <c r="J704" s="3" t="s">
        <v>51</v>
      </c>
      <c r="K704" s="3">
        <v>48830</v>
      </c>
    </row>
    <row r="705" spans="1:11">
      <c r="A705" s="3" t="s">
        <v>1509</v>
      </c>
      <c r="B705" s="3" t="s">
        <v>12</v>
      </c>
      <c r="C705" s="3" t="s">
        <v>129</v>
      </c>
      <c r="D705" s="3" t="s">
        <v>21</v>
      </c>
      <c r="E705" s="3" t="s">
        <v>95</v>
      </c>
      <c r="F705" s="3">
        <v>25</v>
      </c>
      <c r="G705" s="3" t="s">
        <v>16</v>
      </c>
      <c r="H705" s="3" t="s">
        <v>1510</v>
      </c>
      <c r="I705" s="3"/>
      <c r="J705" s="3" t="s">
        <v>17</v>
      </c>
      <c r="K705" s="3">
        <v>32226</v>
      </c>
    </row>
    <row r="706" spans="1:11">
      <c r="A706" s="3" t="s">
        <v>1511</v>
      </c>
      <c r="B706" s="3" t="s">
        <v>31</v>
      </c>
      <c r="C706" s="3" t="s">
        <v>164</v>
      </c>
      <c r="D706" s="3" t="s">
        <v>64</v>
      </c>
      <c r="E706" s="3" t="s">
        <v>65</v>
      </c>
      <c r="F706" s="3">
        <v>21</v>
      </c>
      <c r="G706" s="3" t="s">
        <v>23</v>
      </c>
      <c r="H706" s="3" t="s">
        <v>1512</v>
      </c>
      <c r="I706" s="3"/>
      <c r="J706" s="3" t="s">
        <v>17</v>
      </c>
      <c r="K706" s="3">
        <v>38712</v>
      </c>
    </row>
    <row r="707" spans="1:11">
      <c r="A707" s="3" t="s">
        <v>1513</v>
      </c>
      <c r="B707" s="3" t="s">
        <v>73</v>
      </c>
      <c r="C707" s="3" t="s">
        <v>135</v>
      </c>
      <c r="D707" s="3" t="s">
        <v>21</v>
      </c>
      <c r="E707" s="3" t="s">
        <v>95</v>
      </c>
      <c r="F707" s="3">
        <v>24</v>
      </c>
      <c r="G707" s="3" t="s">
        <v>16</v>
      </c>
      <c r="H707" s="3" t="s">
        <v>1514</v>
      </c>
      <c r="I707" s="3"/>
      <c r="J707" s="3" t="s">
        <v>17</v>
      </c>
      <c r="K707" s="3">
        <v>40766</v>
      </c>
    </row>
    <row r="708" spans="1:11">
      <c r="A708" s="3" t="s">
        <v>1515</v>
      </c>
      <c r="B708" s="3" t="s">
        <v>145</v>
      </c>
      <c r="C708" s="3" t="s">
        <v>94</v>
      </c>
      <c r="D708" s="3" t="s">
        <v>27</v>
      </c>
      <c r="E708" s="3" t="s">
        <v>28</v>
      </c>
      <c r="F708" s="3">
        <v>39</v>
      </c>
      <c r="G708" s="3" t="s">
        <v>16</v>
      </c>
      <c r="H708" s="3" t="s">
        <v>1516</v>
      </c>
      <c r="I708" s="3"/>
      <c r="J708" s="3" t="s">
        <v>17</v>
      </c>
      <c r="K708" s="3">
        <v>41835</v>
      </c>
    </row>
    <row r="709" spans="1:11">
      <c r="A709" s="3" t="s">
        <v>1517</v>
      </c>
      <c r="B709" s="3" t="s">
        <v>125</v>
      </c>
      <c r="C709" s="3" t="s">
        <v>205</v>
      </c>
      <c r="D709" s="3" t="s">
        <v>64</v>
      </c>
      <c r="E709" s="3" t="s">
        <v>266</v>
      </c>
      <c r="F709" s="3">
        <v>28</v>
      </c>
      <c r="G709" s="3" t="s">
        <v>16</v>
      </c>
      <c r="H709" s="3" t="s">
        <v>1518</v>
      </c>
      <c r="I709" s="3"/>
      <c r="J709" s="3" t="s">
        <v>17</v>
      </c>
      <c r="K709" s="3">
        <v>79101</v>
      </c>
    </row>
    <row r="710" spans="1:11">
      <c r="A710" s="3" t="s">
        <v>1519</v>
      </c>
      <c r="B710" s="3" t="s">
        <v>238</v>
      </c>
      <c r="C710" s="3" t="s">
        <v>169</v>
      </c>
      <c r="D710" s="3" t="s">
        <v>64</v>
      </c>
      <c r="E710" s="3" t="s">
        <v>161</v>
      </c>
      <c r="F710" s="3">
        <v>34</v>
      </c>
      <c r="G710" s="3" t="s">
        <v>23</v>
      </c>
      <c r="H710" s="3" t="s">
        <v>84</v>
      </c>
      <c r="I710" s="3"/>
      <c r="J710" s="3" t="s">
        <v>17</v>
      </c>
      <c r="K710" s="3">
        <v>61617</v>
      </c>
    </row>
    <row r="711" spans="1:11">
      <c r="A711" s="3" t="s">
        <v>1520</v>
      </c>
      <c r="B711" s="3" t="s">
        <v>19</v>
      </c>
      <c r="C711" s="3" t="s">
        <v>177</v>
      </c>
      <c r="D711" s="3" t="s">
        <v>27</v>
      </c>
      <c r="E711" s="3" t="s">
        <v>28</v>
      </c>
      <c r="F711" s="3">
        <v>21</v>
      </c>
      <c r="G711" s="3" t="s">
        <v>23</v>
      </c>
      <c r="H711" s="3" t="s">
        <v>1521</v>
      </c>
      <c r="I711" s="3"/>
      <c r="J711" s="3" t="s">
        <v>17</v>
      </c>
      <c r="K711" s="3">
        <v>35811</v>
      </c>
    </row>
    <row r="712" spans="1:11">
      <c r="A712" s="3" t="s">
        <v>1522</v>
      </c>
      <c r="B712" s="3" t="s">
        <v>102</v>
      </c>
      <c r="C712" s="3" t="s">
        <v>164</v>
      </c>
      <c r="D712" s="3" t="s">
        <v>21</v>
      </c>
      <c r="E712" s="3" t="s">
        <v>87</v>
      </c>
      <c r="F712" s="3">
        <v>21</v>
      </c>
      <c r="G712" s="3" t="s">
        <v>16</v>
      </c>
      <c r="H712" s="3" t="s">
        <v>1523</v>
      </c>
      <c r="I712" s="3"/>
      <c r="J712" s="3" t="s">
        <v>17</v>
      </c>
      <c r="K712" s="3">
        <v>43038</v>
      </c>
    </row>
    <row r="713" spans="1:11">
      <c r="A713" s="3" t="s">
        <v>1524</v>
      </c>
      <c r="B713" s="3" t="s">
        <v>125</v>
      </c>
      <c r="C713" s="3" t="s">
        <v>174</v>
      </c>
      <c r="D713" s="3" t="s">
        <v>43</v>
      </c>
      <c r="E713" s="3" t="s">
        <v>44</v>
      </c>
      <c r="F713" s="3">
        <v>30</v>
      </c>
      <c r="G713" s="3" t="s">
        <v>23</v>
      </c>
      <c r="H713" s="3" t="s">
        <v>309</v>
      </c>
      <c r="I713" s="3"/>
      <c r="J713" s="3" t="s">
        <v>17</v>
      </c>
      <c r="K713" s="3">
        <v>29842</v>
      </c>
    </row>
    <row r="714" spans="1:11">
      <c r="A714" s="3" t="s">
        <v>1525</v>
      </c>
      <c r="B714" s="3" t="s">
        <v>78</v>
      </c>
      <c r="C714" s="3" t="s">
        <v>69</v>
      </c>
      <c r="D714" s="3" t="s">
        <v>64</v>
      </c>
      <c r="E714" s="3" t="s">
        <v>65</v>
      </c>
      <c r="F714" s="3">
        <v>32</v>
      </c>
      <c r="G714" s="3" t="s">
        <v>23</v>
      </c>
      <c r="H714" s="3" t="s">
        <v>1526</v>
      </c>
      <c r="I714" s="3"/>
      <c r="J714" s="3" t="s">
        <v>17</v>
      </c>
      <c r="K714" s="3">
        <v>76590</v>
      </c>
    </row>
    <row r="715" spans="1:11">
      <c r="A715" s="3" t="s">
        <v>1527</v>
      </c>
      <c r="B715" s="3" t="s">
        <v>25</v>
      </c>
      <c r="C715" s="3" t="s">
        <v>26</v>
      </c>
      <c r="D715" s="3" t="s">
        <v>21</v>
      </c>
      <c r="E715" s="3" t="s">
        <v>155</v>
      </c>
      <c r="F715" s="3">
        <v>30</v>
      </c>
      <c r="G715" s="3" t="s">
        <v>16</v>
      </c>
      <c r="H715" s="3" t="s">
        <v>1176</v>
      </c>
      <c r="I715" s="3"/>
      <c r="J715" s="3" t="s">
        <v>17</v>
      </c>
      <c r="K715" s="3">
        <v>19475</v>
      </c>
    </row>
    <row r="716" spans="1:11">
      <c r="A716" s="3" t="s">
        <v>1528</v>
      </c>
      <c r="B716" s="3" t="s">
        <v>31</v>
      </c>
      <c r="C716" s="3" t="s">
        <v>83</v>
      </c>
      <c r="D716" s="3" t="s">
        <v>27</v>
      </c>
      <c r="E716" s="3" t="s">
        <v>28</v>
      </c>
      <c r="F716" s="3">
        <v>42</v>
      </c>
      <c r="G716" s="3" t="s">
        <v>16</v>
      </c>
      <c r="H716" s="3" t="s">
        <v>794</v>
      </c>
      <c r="I716" s="3"/>
      <c r="J716" s="3" t="s">
        <v>17</v>
      </c>
      <c r="K716" s="3">
        <v>60471</v>
      </c>
    </row>
    <row r="717" spans="1:11">
      <c r="A717" s="3" t="s">
        <v>1529</v>
      </c>
      <c r="B717" s="3" t="s">
        <v>252</v>
      </c>
      <c r="C717" s="3" t="s">
        <v>42</v>
      </c>
      <c r="D717" s="3" t="s">
        <v>43</v>
      </c>
      <c r="E717" s="3" t="s">
        <v>44</v>
      </c>
      <c r="F717" s="3">
        <v>41</v>
      </c>
      <c r="G717" s="3" t="s">
        <v>23</v>
      </c>
      <c r="H717" s="3" t="s">
        <v>1530</v>
      </c>
      <c r="I717" s="3" t="s">
        <v>1531</v>
      </c>
      <c r="J717" s="3" t="s">
        <v>51</v>
      </c>
      <c r="K717" s="3">
        <v>42395</v>
      </c>
    </row>
    <row r="718" spans="1:11">
      <c r="A718" s="3" t="s">
        <v>1532</v>
      </c>
      <c r="B718" s="3" t="s">
        <v>19</v>
      </c>
      <c r="C718" s="3" t="s">
        <v>42</v>
      </c>
      <c r="D718" s="3" t="s">
        <v>43</v>
      </c>
      <c r="E718" s="3" t="s">
        <v>44</v>
      </c>
      <c r="F718" s="3">
        <v>32</v>
      </c>
      <c r="G718" s="3" t="s">
        <v>23</v>
      </c>
      <c r="H718" s="3" t="s">
        <v>1533</v>
      </c>
      <c r="I718" s="3"/>
      <c r="J718" s="3" t="s">
        <v>17</v>
      </c>
      <c r="K718" s="3">
        <v>25207</v>
      </c>
    </row>
    <row r="719" spans="1:11">
      <c r="A719" s="3" t="s">
        <v>1534</v>
      </c>
      <c r="B719" s="3" t="s">
        <v>160</v>
      </c>
      <c r="C719" s="3" t="s">
        <v>94</v>
      </c>
      <c r="D719" s="3" t="s">
        <v>14</v>
      </c>
      <c r="E719" s="3" t="s">
        <v>15</v>
      </c>
      <c r="F719" s="3">
        <v>31</v>
      </c>
      <c r="G719" s="3" t="s">
        <v>16</v>
      </c>
      <c r="H719" s="4">
        <v>43977</v>
      </c>
      <c r="I719" s="3"/>
      <c r="J719" s="3" t="s">
        <v>17</v>
      </c>
      <c r="K719" s="3">
        <v>75248</v>
      </c>
    </row>
    <row r="720" spans="1:11">
      <c r="A720" s="3" t="s">
        <v>1535</v>
      </c>
      <c r="B720" s="3" t="s">
        <v>216</v>
      </c>
      <c r="C720" s="3" t="s">
        <v>129</v>
      </c>
      <c r="D720" s="3" t="s">
        <v>21</v>
      </c>
      <c r="E720" s="3" t="s">
        <v>22</v>
      </c>
      <c r="F720" s="3">
        <v>33</v>
      </c>
      <c r="G720" s="3" t="s">
        <v>16</v>
      </c>
      <c r="H720" s="3" t="s">
        <v>1536</v>
      </c>
      <c r="I720" s="3"/>
      <c r="J720" s="3" t="s">
        <v>17</v>
      </c>
      <c r="K720" s="3">
        <v>72455</v>
      </c>
    </row>
    <row r="721" spans="1:11">
      <c r="A721" s="3" t="s">
        <v>1537</v>
      </c>
      <c r="B721" s="3" t="s">
        <v>12</v>
      </c>
      <c r="C721" s="3" t="s">
        <v>213</v>
      </c>
      <c r="D721" s="3" t="s">
        <v>27</v>
      </c>
      <c r="E721" s="3" t="s">
        <v>54</v>
      </c>
      <c r="F721" s="3">
        <v>38</v>
      </c>
      <c r="G721" s="3" t="s">
        <v>16</v>
      </c>
      <c r="H721" s="3" t="s">
        <v>1538</v>
      </c>
      <c r="I721" s="3"/>
      <c r="J721" s="3" t="s">
        <v>17</v>
      </c>
      <c r="K721" s="3">
        <v>43314</v>
      </c>
    </row>
    <row r="722" spans="1:11">
      <c r="A722" s="3" t="s">
        <v>1539</v>
      </c>
      <c r="B722" s="3" t="s">
        <v>78</v>
      </c>
      <c r="C722" s="3" t="s">
        <v>94</v>
      </c>
      <c r="D722" s="3" t="s">
        <v>64</v>
      </c>
      <c r="E722" s="3" t="s">
        <v>161</v>
      </c>
      <c r="F722" s="3">
        <v>22</v>
      </c>
      <c r="G722" s="3" t="s">
        <v>16</v>
      </c>
      <c r="H722" s="3" t="s">
        <v>1540</v>
      </c>
      <c r="I722" s="3"/>
      <c r="J722" s="3" t="s">
        <v>17</v>
      </c>
      <c r="K722" s="3">
        <v>59838</v>
      </c>
    </row>
    <row r="723" spans="1:11">
      <c r="A723" s="3" t="s">
        <v>1541</v>
      </c>
      <c r="B723" s="3" t="s">
        <v>58</v>
      </c>
      <c r="C723" s="3" t="s">
        <v>164</v>
      </c>
      <c r="D723" s="3" t="s">
        <v>14</v>
      </c>
      <c r="E723" s="3" t="s">
        <v>75</v>
      </c>
      <c r="F723" s="3">
        <v>21</v>
      </c>
      <c r="G723" s="3" t="s">
        <v>23</v>
      </c>
      <c r="H723" s="3" t="s">
        <v>1542</v>
      </c>
      <c r="I723" s="3"/>
      <c r="J723" s="3" t="s">
        <v>17</v>
      </c>
      <c r="K723" s="3">
        <v>63348</v>
      </c>
    </row>
    <row r="724" spans="1:11">
      <c r="A724" s="3" t="s">
        <v>1543</v>
      </c>
      <c r="B724" s="3" t="s">
        <v>252</v>
      </c>
      <c r="C724" s="3" t="s">
        <v>177</v>
      </c>
      <c r="D724" s="3" t="s">
        <v>64</v>
      </c>
      <c r="E724" s="3" t="s">
        <v>161</v>
      </c>
      <c r="F724" s="3">
        <v>25</v>
      </c>
      <c r="G724" s="3" t="s">
        <v>16</v>
      </c>
      <c r="H724" s="3" t="s">
        <v>1544</v>
      </c>
      <c r="I724" s="3"/>
      <c r="J724" s="3" t="s">
        <v>17</v>
      </c>
      <c r="K724" s="3">
        <v>61233</v>
      </c>
    </row>
    <row r="725" spans="1:11">
      <c r="A725" s="3" t="s">
        <v>1545</v>
      </c>
      <c r="B725" s="3" t="s">
        <v>125</v>
      </c>
      <c r="C725" s="3" t="s">
        <v>146</v>
      </c>
      <c r="D725" s="3" t="s">
        <v>27</v>
      </c>
      <c r="E725" s="3" t="s">
        <v>122</v>
      </c>
      <c r="F725" s="3">
        <v>31</v>
      </c>
      <c r="G725" s="3" t="s">
        <v>23</v>
      </c>
      <c r="H725" s="3" t="s">
        <v>250</v>
      </c>
      <c r="I725" s="3"/>
      <c r="J725" s="3" t="s">
        <v>17</v>
      </c>
      <c r="K725" s="3">
        <v>21887</v>
      </c>
    </row>
    <row r="726" spans="1:11">
      <c r="A726" s="3" t="s">
        <v>1546</v>
      </c>
      <c r="B726" s="3" t="s">
        <v>102</v>
      </c>
      <c r="C726" s="3" t="s">
        <v>129</v>
      </c>
      <c r="D726" s="3" t="s">
        <v>33</v>
      </c>
      <c r="E726" s="3" t="s">
        <v>34</v>
      </c>
      <c r="F726" s="3">
        <v>26</v>
      </c>
      <c r="G726" s="3" t="s">
        <v>16</v>
      </c>
      <c r="H726" s="3" t="s">
        <v>1547</v>
      </c>
      <c r="I726" s="3"/>
      <c r="J726" s="3" t="s">
        <v>17</v>
      </c>
      <c r="K726" s="3">
        <v>58793</v>
      </c>
    </row>
    <row r="727" spans="1:11">
      <c r="A727" s="3" t="s">
        <v>1548</v>
      </c>
      <c r="B727" s="3" t="s">
        <v>37</v>
      </c>
      <c r="C727" s="3" t="s">
        <v>74</v>
      </c>
      <c r="D727" s="3" t="s">
        <v>21</v>
      </c>
      <c r="E727" s="3" t="s">
        <v>155</v>
      </c>
      <c r="F727" s="3">
        <v>46</v>
      </c>
      <c r="G727" s="3" t="s">
        <v>23</v>
      </c>
      <c r="H727" s="3" t="s">
        <v>261</v>
      </c>
      <c r="I727" s="3" t="s">
        <v>1549</v>
      </c>
      <c r="J727" s="3" t="s">
        <v>51</v>
      </c>
      <c r="K727" s="3">
        <v>32870</v>
      </c>
    </row>
    <row r="728" spans="1:11">
      <c r="A728" s="3" t="s">
        <v>1550</v>
      </c>
      <c r="B728" s="3" t="s">
        <v>145</v>
      </c>
      <c r="C728" s="3" t="s">
        <v>74</v>
      </c>
      <c r="D728" s="3" t="s">
        <v>33</v>
      </c>
      <c r="E728" s="3" t="s">
        <v>79</v>
      </c>
      <c r="F728" s="3">
        <v>35</v>
      </c>
      <c r="G728" s="3" t="s">
        <v>16</v>
      </c>
      <c r="H728" s="3" t="s">
        <v>1551</v>
      </c>
      <c r="I728" s="3"/>
      <c r="J728" s="3" t="s">
        <v>17</v>
      </c>
      <c r="K728" s="3">
        <v>66592</v>
      </c>
    </row>
    <row r="729" spans="1:11">
      <c r="A729" s="3" t="s">
        <v>1552</v>
      </c>
      <c r="B729" s="3" t="s">
        <v>31</v>
      </c>
      <c r="C729" s="3" t="s">
        <v>13</v>
      </c>
      <c r="D729" s="3" t="s">
        <v>64</v>
      </c>
      <c r="E729" s="3" t="s">
        <v>65</v>
      </c>
      <c r="F729" s="3">
        <v>34</v>
      </c>
      <c r="G729" s="3" t="s">
        <v>16</v>
      </c>
      <c r="H729" s="3" t="s">
        <v>1553</v>
      </c>
      <c r="I729" s="3"/>
      <c r="J729" s="3" t="s">
        <v>17</v>
      </c>
      <c r="K729" s="3">
        <v>51749</v>
      </c>
    </row>
    <row r="730" spans="1:11">
      <c r="A730" s="3" t="s">
        <v>1554</v>
      </c>
      <c r="B730" s="3" t="s">
        <v>186</v>
      </c>
      <c r="C730" s="3" t="s">
        <v>53</v>
      </c>
      <c r="D730" s="3" t="s">
        <v>43</v>
      </c>
      <c r="E730" s="3" t="s">
        <v>48</v>
      </c>
      <c r="F730" s="3">
        <v>33</v>
      </c>
      <c r="G730" s="3" t="s">
        <v>16</v>
      </c>
      <c r="H730" s="3" t="s">
        <v>733</v>
      </c>
      <c r="I730" s="3"/>
      <c r="J730" s="3" t="s">
        <v>17</v>
      </c>
      <c r="K730" s="3">
        <v>63403</v>
      </c>
    </row>
    <row r="731" spans="1:11">
      <c r="A731" s="3" t="s">
        <v>1555</v>
      </c>
      <c r="B731" s="3" t="s">
        <v>62</v>
      </c>
      <c r="C731" s="3" t="s">
        <v>32</v>
      </c>
      <c r="D731" s="3" t="s">
        <v>809</v>
      </c>
      <c r="E731" s="3" t="s">
        <v>70</v>
      </c>
      <c r="F731" s="3">
        <v>21</v>
      </c>
      <c r="G731" s="3" t="s">
        <v>16</v>
      </c>
      <c r="H731" s="3" t="s">
        <v>1556</v>
      </c>
      <c r="I731" s="3"/>
      <c r="J731" s="3" t="s">
        <v>17</v>
      </c>
      <c r="K731" s="3">
        <v>38464</v>
      </c>
    </row>
    <row r="732" spans="1:11">
      <c r="A732" s="3" t="s">
        <v>1557</v>
      </c>
      <c r="B732" s="3" t="s">
        <v>62</v>
      </c>
      <c r="C732" s="3" t="s">
        <v>38</v>
      </c>
      <c r="D732" s="3" t="s">
        <v>43</v>
      </c>
      <c r="E732" s="3" t="s">
        <v>48</v>
      </c>
      <c r="F732" s="3">
        <v>38</v>
      </c>
      <c r="G732" s="3" t="s">
        <v>16</v>
      </c>
      <c r="H732" s="3" t="s">
        <v>1558</v>
      </c>
      <c r="I732" s="3"/>
      <c r="J732" s="3" t="s">
        <v>17</v>
      </c>
      <c r="K732" s="3">
        <v>75493</v>
      </c>
    </row>
    <row r="733" spans="1:11">
      <c r="A733" s="3" t="s">
        <v>1559</v>
      </c>
      <c r="B733" s="3" t="s">
        <v>401</v>
      </c>
      <c r="C733" s="3" t="s">
        <v>53</v>
      </c>
      <c r="D733" s="3" t="s">
        <v>21</v>
      </c>
      <c r="E733" s="3" t="s">
        <v>155</v>
      </c>
      <c r="F733" s="3">
        <v>39</v>
      </c>
      <c r="G733" s="3" t="s">
        <v>16</v>
      </c>
      <c r="H733" s="3" t="s">
        <v>1560</v>
      </c>
      <c r="I733" s="3"/>
      <c r="J733" s="3" t="s">
        <v>17</v>
      </c>
      <c r="K733" s="3">
        <v>49089</v>
      </c>
    </row>
    <row r="734" spans="1:11">
      <c r="A734" s="3" t="s">
        <v>1561</v>
      </c>
      <c r="B734" s="3" t="s">
        <v>226</v>
      </c>
      <c r="C734" s="3" t="s">
        <v>103</v>
      </c>
      <c r="D734" s="3" t="s">
        <v>21</v>
      </c>
      <c r="E734" s="3" t="s">
        <v>95</v>
      </c>
      <c r="F734" s="3">
        <v>29</v>
      </c>
      <c r="G734" s="3" t="s">
        <v>16</v>
      </c>
      <c r="H734" s="3" t="s">
        <v>1562</v>
      </c>
      <c r="I734" s="3"/>
      <c r="J734" s="3" t="s">
        <v>17</v>
      </c>
      <c r="K734" s="3">
        <v>70575</v>
      </c>
    </row>
    <row r="735" spans="1:11">
      <c r="A735" s="3" t="s">
        <v>1563</v>
      </c>
      <c r="B735" s="3" t="s">
        <v>226</v>
      </c>
      <c r="C735" s="3" t="s">
        <v>74</v>
      </c>
      <c r="D735" s="3" t="s">
        <v>43</v>
      </c>
      <c r="E735" s="3" t="s">
        <v>44</v>
      </c>
      <c r="F735" s="3">
        <v>33</v>
      </c>
      <c r="G735" s="3" t="s">
        <v>16</v>
      </c>
      <c r="H735" s="3" t="s">
        <v>1564</v>
      </c>
      <c r="I735" s="3"/>
      <c r="J735" s="3" t="s">
        <v>17</v>
      </c>
      <c r="K735" s="3">
        <v>52638</v>
      </c>
    </row>
    <row r="736" spans="1:11">
      <c r="A736" s="3" t="s">
        <v>1565</v>
      </c>
      <c r="B736" s="3" t="s">
        <v>12</v>
      </c>
      <c r="C736" s="3" t="s">
        <v>83</v>
      </c>
      <c r="D736" s="3" t="s">
        <v>21</v>
      </c>
      <c r="E736" s="3" t="s">
        <v>87</v>
      </c>
      <c r="F736" s="3">
        <v>23</v>
      </c>
      <c r="G736" s="3" t="s">
        <v>16</v>
      </c>
      <c r="H736" s="3" t="s">
        <v>1566</v>
      </c>
      <c r="I736" s="3"/>
      <c r="J736" s="3" t="s">
        <v>17</v>
      </c>
      <c r="K736" s="3">
        <v>35234</v>
      </c>
    </row>
    <row r="737" spans="1:11">
      <c r="A737" s="3" t="s">
        <v>1567</v>
      </c>
      <c r="B737" s="3" t="s">
        <v>288</v>
      </c>
      <c r="C737" s="3" t="s">
        <v>26</v>
      </c>
      <c r="D737" s="3" t="s">
        <v>594</v>
      </c>
      <c r="E737" s="3" t="s">
        <v>266</v>
      </c>
      <c r="F737" s="3">
        <v>21</v>
      </c>
      <c r="G737" s="3" t="s">
        <v>23</v>
      </c>
      <c r="H737" s="3" t="s">
        <v>1568</v>
      </c>
      <c r="I737" s="3"/>
      <c r="J737" s="3" t="s">
        <v>17</v>
      </c>
      <c r="K737" s="3">
        <v>92680</v>
      </c>
    </row>
    <row r="738" spans="1:11">
      <c r="A738" s="3" t="s">
        <v>1569</v>
      </c>
      <c r="B738" s="3" t="s">
        <v>12</v>
      </c>
      <c r="C738" s="3" t="s">
        <v>42</v>
      </c>
      <c r="D738" s="3" t="s">
        <v>27</v>
      </c>
      <c r="E738" s="3" t="s">
        <v>122</v>
      </c>
      <c r="F738" s="3">
        <v>31</v>
      </c>
      <c r="G738" s="3" t="s">
        <v>16</v>
      </c>
      <c r="H738" s="3" t="s">
        <v>1570</v>
      </c>
      <c r="I738" s="3"/>
      <c r="J738" s="3" t="s">
        <v>17</v>
      </c>
      <c r="K738" s="3">
        <v>71849</v>
      </c>
    </row>
    <row r="739" spans="1:11">
      <c r="A739" s="3" t="s">
        <v>1571</v>
      </c>
      <c r="B739" s="3" t="s">
        <v>98</v>
      </c>
      <c r="C739" s="3" t="s">
        <v>20</v>
      </c>
      <c r="D739" s="3" t="s">
        <v>27</v>
      </c>
      <c r="E739" s="3" t="s">
        <v>54</v>
      </c>
      <c r="F739" s="3">
        <v>42</v>
      </c>
      <c r="G739" s="3" t="s">
        <v>16</v>
      </c>
      <c r="H739" s="3" t="s">
        <v>1572</v>
      </c>
      <c r="I739" s="3"/>
      <c r="J739" s="3" t="s">
        <v>17</v>
      </c>
      <c r="K739" s="3">
        <v>60931</v>
      </c>
    </row>
    <row r="740" spans="1:11">
      <c r="A740" s="3" t="s">
        <v>1573</v>
      </c>
      <c r="B740" s="3" t="s">
        <v>121</v>
      </c>
      <c r="C740" s="3" t="s">
        <v>213</v>
      </c>
      <c r="D740" s="3" t="s">
        <v>21</v>
      </c>
      <c r="E740" s="3" t="s">
        <v>155</v>
      </c>
      <c r="F740" s="3">
        <v>28</v>
      </c>
      <c r="G740" s="3" t="s">
        <v>23</v>
      </c>
      <c r="H740" s="3" t="s">
        <v>1574</v>
      </c>
      <c r="I740" s="3"/>
      <c r="J740" s="3" t="s">
        <v>17</v>
      </c>
      <c r="K740" s="3">
        <v>50882</v>
      </c>
    </row>
    <row r="741" spans="1:11">
      <c r="A741" s="3" t="s">
        <v>1575</v>
      </c>
      <c r="B741" s="3" t="s">
        <v>145</v>
      </c>
      <c r="C741" s="3" t="s">
        <v>249</v>
      </c>
      <c r="D741" s="3" t="s">
        <v>21</v>
      </c>
      <c r="E741" s="3" t="s">
        <v>155</v>
      </c>
      <c r="F741" s="3">
        <v>37</v>
      </c>
      <c r="G741" s="3" t="s">
        <v>16</v>
      </c>
      <c r="H741" s="3" t="s">
        <v>581</v>
      </c>
      <c r="I741" s="3"/>
      <c r="J741" s="3" t="s">
        <v>17</v>
      </c>
      <c r="K741" s="3">
        <v>51501</v>
      </c>
    </row>
    <row r="742" spans="1:11">
      <c r="A742" s="3" t="s">
        <v>1576</v>
      </c>
      <c r="B742" s="3" t="s">
        <v>47</v>
      </c>
      <c r="C742" s="3" t="s">
        <v>69</v>
      </c>
      <c r="D742" s="3" t="s">
        <v>239</v>
      </c>
      <c r="E742" s="3" t="s">
        <v>28</v>
      </c>
      <c r="F742" s="3">
        <v>23</v>
      </c>
      <c r="G742" s="3" t="s">
        <v>23</v>
      </c>
      <c r="H742" s="3" t="s">
        <v>1212</v>
      </c>
      <c r="I742" s="3"/>
      <c r="J742" s="3" t="s">
        <v>17</v>
      </c>
      <c r="K742" s="3">
        <v>67562</v>
      </c>
    </row>
    <row r="743" spans="1:11">
      <c r="A743" s="3" t="s">
        <v>1577</v>
      </c>
      <c r="B743" s="3" t="s">
        <v>93</v>
      </c>
      <c r="C743" s="3" t="s">
        <v>135</v>
      </c>
      <c r="D743" s="3" t="s">
        <v>27</v>
      </c>
      <c r="E743" s="3" t="s">
        <v>28</v>
      </c>
      <c r="F743" s="3">
        <v>41</v>
      </c>
      <c r="G743" s="3" t="s">
        <v>23</v>
      </c>
      <c r="H743" s="3" t="s">
        <v>1578</v>
      </c>
      <c r="I743" s="3"/>
      <c r="J743" s="3" t="s">
        <v>17</v>
      </c>
      <c r="K743" s="3">
        <v>66857</v>
      </c>
    </row>
    <row r="744" spans="1:11">
      <c r="A744" s="3" t="s">
        <v>1579</v>
      </c>
      <c r="B744" s="3" t="s">
        <v>90</v>
      </c>
      <c r="C744" s="3" t="s">
        <v>164</v>
      </c>
      <c r="D744" s="3" t="s">
        <v>14</v>
      </c>
      <c r="E744" s="3" t="s">
        <v>15</v>
      </c>
      <c r="F744" s="3">
        <v>24</v>
      </c>
      <c r="G744" s="3" t="s">
        <v>23</v>
      </c>
      <c r="H744" s="3" t="s">
        <v>1580</v>
      </c>
      <c r="I744" s="3"/>
      <c r="J744" s="3" t="s">
        <v>17</v>
      </c>
      <c r="K744" s="3">
        <v>32656</v>
      </c>
    </row>
    <row r="745" spans="1:11">
      <c r="A745" s="3" t="s">
        <v>1581</v>
      </c>
      <c r="B745" s="3" t="s">
        <v>102</v>
      </c>
      <c r="C745" s="3" t="s">
        <v>169</v>
      </c>
      <c r="D745" s="3" t="s">
        <v>14</v>
      </c>
      <c r="E745" s="3" t="s">
        <v>75</v>
      </c>
      <c r="F745" s="3">
        <v>22</v>
      </c>
      <c r="G745" s="3" t="s">
        <v>16</v>
      </c>
      <c r="H745" s="3" t="s">
        <v>1582</v>
      </c>
      <c r="I745" s="3"/>
      <c r="J745" s="3" t="s">
        <v>17</v>
      </c>
      <c r="K745" s="3">
        <v>39666</v>
      </c>
    </row>
    <row r="746" spans="1:11">
      <c r="A746" s="3" t="s">
        <v>1583</v>
      </c>
      <c r="B746" s="3" t="s">
        <v>288</v>
      </c>
      <c r="C746" s="3" t="s">
        <v>26</v>
      </c>
      <c r="D746" s="3" t="s">
        <v>43</v>
      </c>
      <c r="E746" s="3" t="s">
        <v>44</v>
      </c>
      <c r="F746" s="3">
        <v>32</v>
      </c>
      <c r="G746" s="3" t="s">
        <v>16</v>
      </c>
      <c r="H746" s="3" t="s">
        <v>1584</v>
      </c>
      <c r="I746" s="3"/>
      <c r="J746" s="3" t="s">
        <v>17</v>
      </c>
      <c r="K746" s="3">
        <v>38805</v>
      </c>
    </row>
    <row r="747" spans="1:11">
      <c r="A747" s="3" t="s">
        <v>1585</v>
      </c>
      <c r="B747" s="3" t="s">
        <v>298</v>
      </c>
      <c r="C747" s="3" t="s">
        <v>74</v>
      </c>
      <c r="D747" s="3" t="s">
        <v>594</v>
      </c>
      <c r="E747" s="3" t="s">
        <v>161</v>
      </c>
      <c r="F747" s="3">
        <v>34</v>
      </c>
      <c r="G747" s="3" t="s">
        <v>23</v>
      </c>
      <c r="H747" s="3" t="s">
        <v>1586</v>
      </c>
      <c r="I747" s="3"/>
      <c r="J747" s="3" t="s">
        <v>17</v>
      </c>
      <c r="K747" s="3">
        <v>56555</v>
      </c>
    </row>
    <row r="748" spans="1:11">
      <c r="A748" s="3" t="s">
        <v>1587</v>
      </c>
      <c r="B748" s="3" t="s">
        <v>128</v>
      </c>
      <c r="C748" s="3" t="s">
        <v>174</v>
      </c>
      <c r="D748" s="3" t="s">
        <v>27</v>
      </c>
      <c r="E748" s="3" t="s">
        <v>54</v>
      </c>
      <c r="F748" s="3">
        <v>21</v>
      </c>
      <c r="G748" s="3" t="s">
        <v>16</v>
      </c>
      <c r="H748" s="3" t="s">
        <v>1588</v>
      </c>
      <c r="I748" s="3"/>
      <c r="J748" s="3" t="s">
        <v>17</v>
      </c>
      <c r="K748" s="3">
        <v>54516</v>
      </c>
    </row>
    <row r="749" spans="1:11">
      <c r="A749" s="3" t="s">
        <v>1589</v>
      </c>
      <c r="B749" s="3" t="s">
        <v>109</v>
      </c>
      <c r="C749" s="3" t="s">
        <v>69</v>
      </c>
      <c r="D749" s="3" t="s">
        <v>14</v>
      </c>
      <c r="E749" s="3" t="s">
        <v>75</v>
      </c>
      <c r="F749" s="3">
        <v>32</v>
      </c>
      <c r="G749" s="3" t="s">
        <v>16</v>
      </c>
      <c r="H749" s="3" t="s">
        <v>1590</v>
      </c>
      <c r="I749" s="3"/>
      <c r="J749" s="3" t="s">
        <v>17</v>
      </c>
      <c r="K749" s="3">
        <v>61003</v>
      </c>
    </row>
    <row r="750" spans="1:11">
      <c r="A750" s="3" t="s">
        <v>1591</v>
      </c>
      <c r="B750" s="3" t="s">
        <v>288</v>
      </c>
      <c r="C750" s="3" t="s">
        <v>113</v>
      </c>
      <c r="D750" s="3" t="s">
        <v>43</v>
      </c>
      <c r="E750" s="3" t="s">
        <v>48</v>
      </c>
      <c r="F750" s="3">
        <v>33</v>
      </c>
      <c r="G750" s="3" t="s">
        <v>23</v>
      </c>
      <c r="H750" s="3" t="s">
        <v>1592</v>
      </c>
      <c r="I750" s="3"/>
      <c r="J750" s="3" t="s">
        <v>17</v>
      </c>
      <c r="K750" s="3">
        <v>79581</v>
      </c>
    </row>
    <row r="751" spans="1:11">
      <c r="A751" s="3" t="s">
        <v>1593</v>
      </c>
      <c r="B751" s="3" t="s">
        <v>58</v>
      </c>
      <c r="C751" s="3" t="s">
        <v>135</v>
      </c>
      <c r="D751" s="3" t="s">
        <v>21</v>
      </c>
      <c r="E751" s="3" t="s">
        <v>95</v>
      </c>
      <c r="F751" s="3">
        <v>42</v>
      </c>
      <c r="G751" s="3" t="s">
        <v>23</v>
      </c>
      <c r="H751" s="3" t="s">
        <v>1594</v>
      </c>
      <c r="I751" s="3"/>
      <c r="J751" s="3" t="s">
        <v>17</v>
      </c>
      <c r="K751" s="3">
        <v>60029</v>
      </c>
    </row>
    <row r="752" spans="1:11">
      <c r="A752" s="3" t="s">
        <v>1595</v>
      </c>
      <c r="B752" s="3" t="s">
        <v>468</v>
      </c>
      <c r="C752" s="3" t="s">
        <v>129</v>
      </c>
      <c r="D752" s="3" t="s">
        <v>187</v>
      </c>
      <c r="E752" s="3" t="s">
        <v>87</v>
      </c>
      <c r="F752" s="3">
        <v>23</v>
      </c>
      <c r="G752" s="3" t="s">
        <v>23</v>
      </c>
      <c r="H752" s="3" t="s">
        <v>1596</v>
      </c>
      <c r="I752" s="3"/>
      <c r="J752" s="3" t="s">
        <v>17</v>
      </c>
      <c r="K752" s="3">
        <v>51492</v>
      </c>
    </row>
    <row r="753" spans="1:11">
      <c r="A753" s="3" t="s">
        <v>1597</v>
      </c>
      <c r="B753" s="3" t="s">
        <v>109</v>
      </c>
      <c r="C753" s="3" t="s">
        <v>249</v>
      </c>
      <c r="D753" s="3" t="s">
        <v>64</v>
      </c>
      <c r="E753" s="3" t="s">
        <v>266</v>
      </c>
      <c r="F753" s="3">
        <v>45</v>
      </c>
      <c r="G753" s="3" t="s">
        <v>23</v>
      </c>
      <c r="H753" s="3" t="s">
        <v>1598</v>
      </c>
      <c r="I753" s="3"/>
      <c r="J753" s="3" t="s">
        <v>17</v>
      </c>
      <c r="K753" s="3">
        <v>50424</v>
      </c>
    </row>
    <row r="754" spans="1:11">
      <c r="A754" s="3" t="s">
        <v>1599</v>
      </c>
      <c r="B754" s="3" t="s">
        <v>288</v>
      </c>
      <c r="C754" s="3" t="s">
        <v>164</v>
      </c>
      <c r="D754" s="3" t="s">
        <v>43</v>
      </c>
      <c r="E754" s="3" t="s">
        <v>48</v>
      </c>
      <c r="F754" s="3">
        <v>31</v>
      </c>
      <c r="G754" s="3" t="s">
        <v>16</v>
      </c>
      <c r="H754" s="3" t="s">
        <v>1600</v>
      </c>
      <c r="I754" s="3"/>
      <c r="J754" s="3" t="s">
        <v>17</v>
      </c>
      <c r="K754" s="3">
        <v>35051</v>
      </c>
    </row>
    <row r="755" spans="1:11">
      <c r="A755" s="3" t="s">
        <v>1601</v>
      </c>
      <c r="B755" s="3" t="s">
        <v>112</v>
      </c>
      <c r="C755" s="3" t="s">
        <v>20</v>
      </c>
      <c r="D755" s="3" t="s">
        <v>27</v>
      </c>
      <c r="E755" s="3" t="s">
        <v>28</v>
      </c>
      <c r="F755" s="3">
        <v>45</v>
      </c>
      <c r="G755" s="3" t="s">
        <v>23</v>
      </c>
      <c r="H755" s="3" t="s">
        <v>1602</v>
      </c>
      <c r="I755" s="3"/>
      <c r="J755" s="3" t="s">
        <v>17</v>
      </c>
      <c r="K755" s="3">
        <v>96049</v>
      </c>
    </row>
    <row r="756" spans="1:11">
      <c r="A756" s="3" t="s">
        <v>1603</v>
      </c>
      <c r="B756" s="3" t="s">
        <v>223</v>
      </c>
      <c r="C756" s="3" t="s">
        <v>94</v>
      </c>
      <c r="D756" s="3" t="s">
        <v>21</v>
      </c>
      <c r="E756" s="3" t="s">
        <v>155</v>
      </c>
      <c r="F756" s="3">
        <v>27</v>
      </c>
      <c r="G756" s="3" t="s">
        <v>23</v>
      </c>
      <c r="H756" s="3" t="s">
        <v>1604</v>
      </c>
      <c r="I756" s="3"/>
      <c r="J756" s="3" t="s">
        <v>17</v>
      </c>
      <c r="K756" s="3">
        <v>58589</v>
      </c>
    </row>
    <row r="757" spans="1:11">
      <c r="A757" s="3" t="s">
        <v>1605</v>
      </c>
      <c r="B757" s="3" t="s">
        <v>47</v>
      </c>
      <c r="C757" s="3" t="s">
        <v>164</v>
      </c>
      <c r="D757" s="3" t="s">
        <v>64</v>
      </c>
      <c r="E757" s="3" t="s">
        <v>161</v>
      </c>
      <c r="F757" s="3">
        <v>32</v>
      </c>
      <c r="G757" s="3" t="s">
        <v>16</v>
      </c>
      <c r="H757" s="3" t="s">
        <v>1606</v>
      </c>
      <c r="I757" s="3"/>
      <c r="J757" s="3" t="s">
        <v>17</v>
      </c>
      <c r="K757" s="3">
        <v>18000</v>
      </c>
    </row>
    <row r="758" spans="1:11">
      <c r="A758" s="3" t="s">
        <v>1607</v>
      </c>
      <c r="B758" s="3" t="s">
        <v>98</v>
      </c>
      <c r="C758" s="3" t="s">
        <v>32</v>
      </c>
      <c r="D758" s="3" t="s">
        <v>43</v>
      </c>
      <c r="E758" s="3" t="s">
        <v>48</v>
      </c>
      <c r="F758" s="3">
        <v>26</v>
      </c>
      <c r="G758" s="3" t="s">
        <v>23</v>
      </c>
      <c r="H758" s="3" t="s">
        <v>1608</v>
      </c>
      <c r="I758" s="3"/>
      <c r="J758" s="3" t="s">
        <v>17</v>
      </c>
      <c r="K758" s="3">
        <v>42974</v>
      </c>
    </row>
    <row r="759" spans="1:11">
      <c r="A759" s="3" t="s">
        <v>1609</v>
      </c>
      <c r="B759" s="3" t="s">
        <v>125</v>
      </c>
      <c r="C759" s="3" t="s">
        <v>83</v>
      </c>
      <c r="D759" s="3" t="s">
        <v>64</v>
      </c>
      <c r="E759" s="3" t="s">
        <v>266</v>
      </c>
      <c r="F759" s="3">
        <v>29</v>
      </c>
      <c r="G759" s="3" t="s">
        <v>23</v>
      </c>
      <c r="H759" s="3" t="s">
        <v>1610</v>
      </c>
      <c r="I759" s="3"/>
      <c r="J759" s="3" t="s">
        <v>17</v>
      </c>
      <c r="K759" s="3">
        <v>80139</v>
      </c>
    </row>
    <row r="760" spans="1:11">
      <c r="A760" s="3" t="s">
        <v>1611</v>
      </c>
      <c r="B760" s="3" t="s">
        <v>19</v>
      </c>
      <c r="C760" s="3" t="s">
        <v>177</v>
      </c>
      <c r="D760" s="3" t="s">
        <v>27</v>
      </c>
      <c r="E760" s="3" t="s">
        <v>28</v>
      </c>
      <c r="F760" s="3">
        <v>35</v>
      </c>
      <c r="G760" s="3" t="s">
        <v>16</v>
      </c>
      <c r="H760" s="3" t="s">
        <v>1612</v>
      </c>
      <c r="I760" s="3"/>
      <c r="J760" s="3" t="s">
        <v>17</v>
      </c>
      <c r="K760" s="3">
        <v>40520</v>
      </c>
    </row>
    <row r="761" spans="1:11">
      <c r="A761" s="3" t="s">
        <v>1613</v>
      </c>
      <c r="B761" s="3" t="s">
        <v>37</v>
      </c>
      <c r="C761" s="3" t="s">
        <v>63</v>
      </c>
      <c r="D761" s="3" t="s">
        <v>43</v>
      </c>
      <c r="E761" s="3" t="s">
        <v>44</v>
      </c>
      <c r="F761" s="3">
        <v>38</v>
      </c>
      <c r="G761" s="3" t="s">
        <v>16</v>
      </c>
      <c r="H761" s="3" t="s">
        <v>1614</v>
      </c>
      <c r="I761" s="3" t="s">
        <v>1615</v>
      </c>
      <c r="J761" s="3" t="s">
        <v>51</v>
      </c>
      <c r="K761" s="3">
        <v>42400</v>
      </c>
    </row>
    <row r="762" spans="1:11">
      <c r="A762" s="3" t="s">
        <v>1616</v>
      </c>
      <c r="B762" s="3" t="s">
        <v>98</v>
      </c>
      <c r="C762" s="3" t="s">
        <v>177</v>
      </c>
      <c r="D762" s="3" t="s">
        <v>27</v>
      </c>
      <c r="E762" s="3" t="s">
        <v>122</v>
      </c>
      <c r="F762" s="3">
        <v>26</v>
      </c>
      <c r="G762" s="3" t="s">
        <v>16</v>
      </c>
      <c r="H762" s="3" t="s">
        <v>1617</v>
      </c>
      <c r="I762" s="3"/>
      <c r="J762" s="3" t="s">
        <v>17</v>
      </c>
      <c r="K762" s="3">
        <v>60191</v>
      </c>
    </row>
    <row r="763" spans="1:11">
      <c r="A763" s="3" t="s">
        <v>1618</v>
      </c>
      <c r="B763" s="3" t="s">
        <v>47</v>
      </c>
      <c r="C763" s="3" t="s">
        <v>164</v>
      </c>
      <c r="D763" s="3" t="s">
        <v>27</v>
      </c>
      <c r="E763" s="3" t="s">
        <v>54</v>
      </c>
      <c r="F763" s="3">
        <v>33</v>
      </c>
      <c r="G763" s="3" t="s">
        <v>16</v>
      </c>
      <c r="H763" s="3" t="s">
        <v>1619</v>
      </c>
      <c r="I763" s="3"/>
      <c r="J763" s="3" t="s">
        <v>17</v>
      </c>
      <c r="K763" s="3">
        <v>55766</v>
      </c>
    </row>
    <row r="764" spans="1:11">
      <c r="A764" s="3" t="s">
        <v>1620</v>
      </c>
      <c r="B764" s="3" t="s">
        <v>37</v>
      </c>
      <c r="C764" s="3" t="s">
        <v>146</v>
      </c>
      <c r="D764" s="3" t="s">
        <v>64</v>
      </c>
      <c r="E764" s="3" t="s">
        <v>266</v>
      </c>
      <c r="F764" s="3">
        <v>41</v>
      </c>
      <c r="G764" s="3" t="s">
        <v>16</v>
      </c>
      <c r="H764" s="3" t="s">
        <v>1621</v>
      </c>
      <c r="I764" s="3"/>
      <c r="J764" s="3" t="s">
        <v>17</v>
      </c>
      <c r="K764" s="3">
        <v>81926</v>
      </c>
    </row>
    <row r="765" spans="1:11">
      <c r="A765" s="3" t="s">
        <v>1622</v>
      </c>
      <c r="B765" s="3" t="s">
        <v>98</v>
      </c>
      <c r="C765" s="3" t="s">
        <v>164</v>
      </c>
      <c r="D765" s="3" t="s">
        <v>64</v>
      </c>
      <c r="E765" s="3" t="s">
        <v>161</v>
      </c>
      <c r="F765" s="3">
        <v>25</v>
      </c>
      <c r="G765" s="3" t="s">
        <v>16</v>
      </c>
      <c r="H765" s="3" t="s">
        <v>1316</v>
      </c>
      <c r="I765" s="3"/>
      <c r="J765" s="3" t="s">
        <v>17</v>
      </c>
      <c r="K765" s="3">
        <v>46599</v>
      </c>
    </row>
    <row r="766" spans="1:11">
      <c r="A766" s="3" t="s">
        <v>1623</v>
      </c>
      <c r="B766" s="3" t="s">
        <v>125</v>
      </c>
      <c r="C766" s="3" t="s">
        <v>146</v>
      </c>
      <c r="D766" s="3" t="s">
        <v>43</v>
      </c>
      <c r="E766" s="3" t="s">
        <v>48</v>
      </c>
      <c r="F766" s="3">
        <v>21</v>
      </c>
      <c r="G766" s="3" t="s">
        <v>16</v>
      </c>
      <c r="H766" s="3" t="s">
        <v>1269</v>
      </c>
      <c r="I766" s="3"/>
      <c r="J766" s="3" t="s">
        <v>17</v>
      </c>
      <c r="K766" s="3">
        <v>47289</v>
      </c>
    </row>
    <row r="767" spans="1:11">
      <c r="A767" s="3" t="s">
        <v>1624</v>
      </c>
      <c r="B767" s="3" t="s">
        <v>141</v>
      </c>
      <c r="C767" s="3" t="s">
        <v>59</v>
      </c>
      <c r="D767" s="3" t="s">
        <v>21</v>
      </c>
      <c r="E767" s="3" t="s">
        <v>95</v>
      </c>
      <c r="F767" s="3">
        <v>40</v>
      </c>
      <c r="G767" s="3" t="s">
        <v>16</v>
      </c>
      <c r="H767" s="3" t="s">
        <v>1625</v>
      </c>
      <c r="I767" s="3"/>
      <c r="J767" s="3" t="s">
        <v>17</v>
      </c>
      <c r="K767" s="3">
        <v>67204</v>
      </c>
    </row>
    <row r="768" spans="1:11">
      <c r="A768" s="3" t="s">
        <v>1626</v>
      </c>
      <c r="B768" s="3" t="s">
        <v>238</v>
      </c>
      <c r="C768" s="3" t="s">
        <v>146</v>
      </c>
      <c r="D768" s="3" t="s">
        <v>64</v>
      </c>
      <c r="E768" s="3" t="s">
        <v>266</v>
      </c>
      <c r="F768" s="3">
        <v>21</v>
      </c>
      <c r="G768" s="3" t="s">
        <v>23</v>
      </c>
      <c r="H768" s="3" t="s">
        <v>916</v>
      </c>
      <c r="I768" s="3"/>
      <c r="J768" s="3" t="s">
        <v>17</v>
      </c>
      <c r="K768" s="3">
        <v>35724</v>
      </c>
    </row>
    <row r="769" spans="1:11">
      <c r="A769" s="3" t="s">
        <v>1627</v>
      </c>
      <c r="B769" s="3" t="s">
        <v>82</v>
      </c>
      <c r="C769" s="3" t="s">
        <v>20</v>
      </c>
      <c r="D769" s="3" t="s">
        <v>64</v>
      </c>
      <c r="E769" s="3" t="s">
        <v>65</v>
      </c>
      <c r="F769" s="3">
        <v>33</v>
      </c>
      <c r="G769" s="3" t="s">
        <v>16</v>
      </c>
      <c r="H769" s="3" t="s">
        <v>1628</v>
      </c>
      <c r="I769" s="3"/>
      <c r="J769" s="3" t="s">
        <v>17</v>
      </c>
      <c r="K769" s="3">
        <v>26281</v>
      </c>
    </row>
    <row r="770" spans="1:11">
      <c r="A770" s="3" t="s">
        <v>1629</v>
      </c>
      <c r="B770" s="3" t="s">
        <v>90</v>
      </c>
      <c r="C770" s="3" t="s">
        <v>83</v>
      </c>
      <c r="D770" s="3" t="s">
        <v>43</v>
      </c>
      <c r="E770" s="3" t="s">
        <v>48</v>
      </c>
      <c r="F770" s="3">
        <v>26</v>
      </c>
      <c r="G770" s="3" t="s">
        <v>16</v>
      </c>
      <c r="H770" s="3" t="s">
        <v>1630</v>
      </c>
      <c r="I770" s="3"/>
      <c r="J770" s="3" t="s">
        <v>17</v>
      </c>
      <c r="K770" s="3">
        <v>73841</v>
      </c>
    </row>
    <row r="771" spans="1:11">
      <c r="A771" s="3" t="s">
        <v>1631</v>
      </c>
      <c r="B771" s="3" t="s">
        <v>25</v>
      </c>
      <c r="C771" s="3" t="s">
        <v>164</v>
      </c>
      <c r="D771" s="3" t="s">
        <v>33</v>
      </c>
      <c r="E771" s="3" t="s">
        <v>34</v>
      </c>
      <c r="F771" s="3">
        <v>29</v>
      </c>
      <c r="G771" s="3" t="s">
        <v>23</v>
      </c>
      <c r="H771" s="3" t="s">
        <v>1632</v>
      </c>
      <c r="I771" s="3"/>
      <c r="J771" s="3" t="s">
        <v>17</v>
      </c>
      <c r="K771" s="3">
        <v>80617</v>
      </c>
    </row>
    <row r="772" spans="1:11">
      <c r="A772" s="3" t="s">
        <v>1633</v>
      </c>
      <c r="B772" s="3" t="s">
        <v>73</v>
      </c>
      <c r="C772" s="3" t="s">
        <v>83</v>
      </c>
      <c r="D772" s="3" t="s">
        <v>21</v>
      </c>
      <c r="E772" s="3" t="s">
        <v>87</v>
      </c>
      <c r="F772" s="3">
        <v>29</v>
      </c>
      <c r="G772" s="3" t="s">
        <v>23</v>
      </c>
      <c r="H772" s="3" t="s">
        <v>1634</v>
      </c>
      <c r="I772" s="3"/>
      <c r="J772" s="3" t="s">
        <v>17</v>
      </c>
      <c r="K772" s="3">
        <v>71913</v>
      </c>
    </row>
    <row r="773" spans="1:11">
      <c r="A773" s="3" t="s">
        <v>1635</v>
      </c>
      <c r="B773" s="3" t="s">
        <v>98</v>
      </c>
      <c r="C773" s="3" t="s">
        <v>129</v>
      </c>
      <c r="D773" s="3" t="s">
        <v>21</v>
      </c>
      <c r="E773" s="3" t="s">
        <v>87</v>
      </c>
      <c r="F773" s="3">
        <v>37</v>
      </c>
      <c r="G773" s="3" t="s">
        <v>16</v>
      </c>
      <c r="H773" s="3" t="s">
        <v>1636</v>
      </c>
      <c r="I773" s="3"/>
      <c r="J773" s="3" t="s">
        <v>17</v>
      </c>
      <c r="K773" s="3">
        <v>53254</v>
      </c>
    </row>
    <row r="774" spans="1:11">
      <c r="A774" s="3" t="s">
        <v>1637</v>
      </c>
      <c r="B774" s="3" t="s">
        <v>252</v>
      </c>
      <c r="C774" s="3" t="s">
        <v>135</v>
      </c>
      <c r="D774" s="3" t="s">
        <v>187</v>
      </c>
      <c r="E774" s="3" t="s">
        <v>155</v>
      </c>
      <c r="F774" s="3">
        <v>26</v>
      </c>
      <c r="G774" s="3" t="s">
        <v>16</v>
      </c>
      <c r="H774" s="3" t="s">
        <v>1638</v>
      </c>
      <c r="I774" s="3"/>
      <c r="J774" s="3" t="s">
        <v>17</v>
      </c>
      <c r="K774" s="3">
        <v>22573</v>
      </c>
    </row>
    <row r="775" spans="1:11">
      <c r="A775" s="3" t="s">
        <v>1639</v>
      </c>
      <c r="B775" s="3" t="s">
        <v>98</v>
      </c>
      <c r="C775" s="3" t="s">
        <v>42</v>
      </c>
      <c r="D775" s="3" t="s">
        <v>33</v>
      </c>
      <c r="E775" s="3" t="s">
        <v>34</v>
      </c>
      <c r="F775" s="3">
        <v>34</v>
      </c>
      <c r="G775" s="3" t="s">
        <v>23</v>
      </c>
      <c r="H775" s="3" t="s">
        <v>104</v>
      </c>
      <c r="I775" s="3"/>
      <c r="J775" s="3" t="s">
        <v>17</v>
      </c>
      <c r="K775" s="3">
        <v>72995</v>
      </c>
    </row>
    <row r="776" spans="1:11">
      <c r="A776" s="3" t="s">
        <v>1640</v>
      </c>
      <c r="B776" s="3" t="s">
        <v>288</v>
      </c>
      <c r="C776" s="3" t="s">
        <v>135</v>
      </c>
      <c r="D776" s="3" t="s">
        <v>435</v>
      </c>
      <c r="E776" s="3" t="s">
        <v>79</v>
      </c>
      <c r="F776" s="3">
        <v>28</v>
      </c>
      <c r="G776" s="3" t="s">
        <v>16</v>
      </c>
      <c r="H776" s="3" t="s">
        <v>1641</v>
      </c>
      <c r="I776" s="3"/>
      <c r="J776" s="3" t="s">
        <v>17</v>
      </c>
      <c r="K776" s="3">
        <v>42151</v>
      </c>
    </row>
    <row r="777" spans="1:11">
      <c r="A777" s="3" t="s">
        <v>1642</v>
      </c>
      <c r="B777" s="3" t="s">
        <v>37</v>
      </c>
      <c r="C777" s="3" t="s">
        <v>38</v>
      </c>
      <c r="D777" s="3" t="s">
        <v>27</v>
      </c>
      <c r="E777" s="3" t="s">
        <v>54</v>
      </c>
      <c r="F777" s="3">
        <v>36</v>
      </c>
      <c r="G777" s="3" t="s">
        <v>23</v>
      </c>
      <c r="H777" s="3" t="s">
        <v>1643</v>
      </c>
      <c r="I777" s="3"/>
      <c r="J777" s="3" t="s">
        <v>17</v>
      </c>
      <c r="K777" s="3">
        <v>28550</v>
      </c>
    </row>
    <row r="778" spans="1:11">
      <c r="A778" s="3" t="s">
        <v>1644</v>
      </c>
      <c r="B778" s="3" t="s">
        <v>468</v>
      </c>
      <c r="C778" s="3" t="s">
        <v>169</v>
      </c>
      <c r="D778" s="3" t="s">
        <v>27</v>
      </c>
      <c r="E778" s="3" t="s">
        <v>28</v>
      </c>
      <c r="F778">
        <v>32</v>
      </c>
      <c r="G778" s="3" t="s">
        <v>16</v>
      </c>
      <c r="H778" s="4">
        <v>45090</v>
      </c>
      <c r="I778" s="3"/>
      <c r="J778" s="3" t="s">
        <v>17</v>
      </c>
      <c r="K778" s="3">
        <v>61636</v>
      </c>
    </row>
    <row r="779" spans="1:11">
      <c r="A779" s="3" t="s">
        <v>1645</v>
      </c>
      <c r="B779" s="3" t="s">
        <v>82</v>
      </c>
      <c r="C779" s="3" t="s">
        <v>20</v>
      </c>
      <c r="D779" s="3" t="s">
        <v>21</v>
      </c>
      <c r="E779" s="3" t="s">
        <v>155</v>
      </c>
      <c r="F779" s="3">
        <v>22</v>
      </c>
      <c r="G779" s="3" t="s">
        <v>16</v>
      </c>
      <c r="H779" s="3" t="s">
        <v>1646</v>
      </c>
      <c r="I779" s="3"/>
      <c r="J779" s="3" t="s">
        <v>17</v>
      </c>
      <c r="K779" s="3">
        <v>43768</v>
      </c>
    </row>
    <row r="780" spans="1:11">
      <c r="A780" s="3" t="s">
        <v>1647</v>
      </c>
      <c r="B780" s="3" t="s">
        <v>68</v>
      </c>
      <c r="C780" s="3" t="s">
        <v>13</v>
      </c>
      <c r="D780" s="3" t="s">
        <v>14</v>
      </c>
      <c r="E780" s="3" t="s">
        <v>15</v>
      </c>
      <c r="F780" s="3">
        <v>34</v>
      </c>
      <c r="G780" s="3" t="s">
        <v>23</v>
      </c>
      <c r="H780" s="3" t="s">
        <v>1648</v>
      </c>
      <c r="I780" s="3"/>
      <c r="J780" s="3" t="s">
        <v>17</v>
      </c>
      <c r="K780" s="3">
        <v>33912</v>
      </c>
    </row>
    <row r="781" spans="1:11">
      <c r="A781" s="3" t="s">
        <v>1649</v>
      </c>
      <c r="B781" s="3" t="s">
        <v>128</v>
      </c>
      <c r="C781" s="3" t="s">
        <v>135</v>
      </c>
      <c r="D781" s="3" t="s">
        <v>33</v>
      </c>
      <c r="E781" s="3" t="s">
        <v>34</v>
      </c>
      <c r="F781" s="3">
        <v>21</v>
      </c>
      <c r="G781" s="3" t="s">
        <v>16</v>
      </c>
      <c r="H781" s="3" t="s">
        <v>1650</v>
      </c>
      <c r="I781" s="3"/>
      <c r="J781" s="3" t="s">
        <v>17</v>
      </c>
      <c r="K781" s="3">
        <v>64282</v>
      </c>
    </row>
    <row r="782" spans="1:11">
      <c r="A782" s="3" t="s">
        <v>1651</v>
      </c>
      <c r="B782" s="3" t="s">
        <v>86</v>
      </c>
      <c r="C782" s="3" t="s">
        <v>26</v>
      </c>
      <c r="D782" s="3" t="s">
        <v>27</v>
      </c>
      <c r="E782" s="3" t="s">
        <v>54</v>
      </c>
      <c r="F782" s="3"/>
      <c r="G782" s="3" t="s">
        <v>23</v>
      </c>
      <c r="H782" s="3" t="s">
        <v>1652</v>
      </c>
      <c r="I782" s="3"/>
      <c r="J782" s="3" t="s">
        <v>17</v>
      </c>
      <c r="K782" s="3">
        <v>37958</v>
      </c>
    </row>
    <row r="783" spans="1:11">
      <c r="A783" s="3" t="s">
        <v>1653</v>
      </c>
      <c r="B783" s="3" t="s">
        <v>288</v>
      </c>
      <c r="C783" s="3" t="s">
        <v>113</v>
      </c>
      <c r="D783" s="3" t="s">
        <v>27</v>
      </c>
      <c r="E783" s="3" t="s">
        <v>122</v>
      </c>
      <c r="F783" s="3">
        <v>43</v>
      </c>
      <c r="G783" s="3" t="s">
        <v>16</v>
      </c>
      <c r="H783" s="4">
        <v>44630</v>
      </c>
      <c r="I783" s="3"/>
      <c r="J783" s="3" t="s">
        <v>17</v>
      </c>
      <c r="K783" s="3">
        <v>88761</v>
      </c>
    </row>
    <row r="784" spans="1:11">
      <c r="A784" s="3" t="s">
        <v>1654</v>
      </c>
      <c r="B784" s="3" t="s">
        <v>121</v>
      </c>
      <c r="C784" s="3" t="s">
        <v>169</v>
      </c>
      <c r="D784" s="3" t="s">
        <v>118</v>
      </c>
      <c r="E784" s="3" t="s">
        <v>70</v>
      </c>
      <c r="F784" s="3">
        <v>39</v>
      </c>
      <c r="G784" s="3" t="s">
        <v>23</v>
      </c>
      <c r="H784" s="3" t="s">
        <v>1655</v>
      </c>
      <c r="I784" s="3" t="s">
        <v>1656</v>
      </c>
      <c r="J784" s="3" t="s">
        <v>51</v>
      </c>
      <c r="K784" s="3">
        <v>57241</v>
      </c>
    </row>
    <row r="785" spans="1:11">
      <c r="A785" s="3" t="s">
        <v>1657</v>
      </c>
      <c r="B785" s="3" t="s">
        <v>82</v>
      </c>
      <c r="C785" s="3" t="s">
        <v>129</v>
      </c>
      <c r="D785" s="3" t="s">
        <v>594</v>
      </c>
      <c r="E785" s="3" t="s">
        <v>161</v>
      </c>
      <c r="F785" s="3">
        <v>42</v>
      </c>
      <c r="G785" s="3" t="s">
        <v>16</v>
      </c>
      <c r="H785" s="3" t="s">
        <v>1658</v>
      </c>
      <c r="I785" s="3"/>
      <c r="J785" s="3" t="s">
        <v>17</v>
      </c>
      <c r="K785" s="3">
        <v>71721</v>
      </c>
    </row>
    <row r="786" spans="1:11">
      <c r="A786" s="3" t="s">
        <v>1659</v>
      </c>
      <c r="B786" s="3" t="s">
        <v>216</v>
      </c>
      <c r="C786" s="3" t="s">
        <v>53</v>
      </c>
      <c r="D786" s="3" t="s">
        <v>64</v>
      </c>
      <c r="E786" s="3" t="s">
        <v>161</v>
      </c>
      <c r="F786" s="3">
        <v>31</v>
      </c>
      <c r="G786" s="3" t="s">
        <v>23</v>
      </c>
      <c r="H786" s="3" t="s">
        <v>1660</v>
      </c>
      <c r="I786" s="3"/>
      <c r="J786" s="3" t="s">
        <v>17</v>
      </c>
      <c r="K786" s="3">
        <v>79244</v>
      </c>
    </row>
    <row r="787" spans="1:11">
      <c r="A787" s="3" t="s">
        <v>1661</v>
      </c>
      <c r="B787" s="3" t="s">
        <v>25</v>
      </c>
      <c r="C787" s="3" t="s">
        <v>164</v>
      </c>
      <c r="D787" s="3" t="s">
        <v>43</v>
      </c>
      <c r="E787" s="3" t="s">
        <v>48</v>
      </c>
      <c r="F787" s="3">
        <v>34</v>
      </c>
      <c r="G787" s="3" t="s">
        <v>23</v>
      </c>
      <c r="H787" s="3" t="s">
        <v>1662</v>
      </c>
      <c r="I787" s="3" t="s">
        <v>1663</v>
      </c>
      <c r="J787" s="3" t="s">
        <v>51</v>
      </c>
      <c r="K787" s="3">
        <v>77423</v>
      </c>
    </row>
    <row r="788" spans="1:11">
      <c r="A788" s="3" t="s">
        <v>1664</v>
      </c>
      <c r="B788" s="3" t="s">
        <v>238</v>
      </c>
      <c r="C788" s="3" t="s">
        <v>20</v>
      </c>
      <c r="D788" s="3" t="s">
        <v>33</v>
      </c>
      <c r="E788" s="3" t="s">
        <v>34</v>
      </c>
      <c r="F788" s="3">
        <v>46</v>
      </c>
      <c r="G788" s="3" t="s">
        <v>23</v>
      </c>
      <c r="H788" s="3" t="s">
        <v>1665</v>
      </c>
      <c r="I788" s="3"/>
      <c r="J788" s="3" t="s">
        <v>17</v>
      </c>
      <c r="K788" s="3">
        <v>49101</v>
      </c>
    </row>
    <row r="789" spans="1:11">
      <c r="A789" s="3" t="s">
        <v>1666</v>
      </c>
      <c r="B789" s="3" t="s">
        <v>186</v>
      </c>
      <c r="C789" s="3" t="s">
        <v>32</v>
      </c>
      <c r="D789" s="3" t="s">
        <v>21</v>
      </c>
      <c r="E789" s="3" t="s">
        <v>22</v>
      </c>
      <c r="F789" s="3">
        <v>41</v>
      </c>
      <c r="G789" s="3" t="s">
        <v>16</v>
      </c>
      <c r="H789" s="4">
        <v>43511</v>
      </c>
      <c r="I789" s="3"/>
      <c r="J789" s="3" t="s">
        <v>17</v>
      </c>
      <c r="K789" s="3">
        <v>41473</v>
      </c>
    </row>
    <row r="790" spans="1:11">
      <c r="A790" s="3" t="s">
        <v>1667</v>
      </c>
      <c r="B790" s="3" t="s">
        <v>102</v>
      </c>
      <c r="C790" s="3" t="s">
        <v>63</v>
      </c>
      <c r="D790" s="3" t="s">
        <v>33</v>
      </c>
      <c r="E790" s="3" t="s">
        <v>34</v>
      </c>
      <c r="F790" s="3">
        <v>41</v>
      </c>
      <c r="G790" s="3" t="s">
        <v>23</v>
      </c>
      <c r="H790" s="3" t="s">
        <v>1668</v>
      </c>
      <c r="I790" s="3"/>
      <c r="J790" s="3" t="s">
        <v>17</v>
      </c>
      <c r="K790" s="3">
        <v>55014</v>
      </c>
    </row>
    <row r="791" spans="1:11">
      <c r="A791" s="3" t="s">
        <v>1669</v>
      </c>
      <c r="B791" s="3" t="s">
        <v>106</v>
      </c>
      <c r="C791" s="3" t="s">
        <v>103</v>
      </c>
      <c r="D791" s="3" t="s">
        <v>43</v>
      </c>
      <c r="E791" s="3" t="s">
        <v>44</v>
      </c>
      <c r="F791" s="3">
        <v>28</v>
      </c>
      <c r="G791" s="3" t="s">
        <v>23</v>
      </c>
      <c r="H791" s="3" t="s">
        <v>1670</v>
      </c>
      <c r="I791" s="3"/>
      <c r="J791" s="3" t="s">
        <v>17</v>
      </c>
      <c r="K791" s="3">
        <v>57255</v>
      </c>
    </row>
    <row r="792" spans="1:11">
      <c r="A792" s="3" t="s">
        <v>1671</v>
      </c>
      <c r="B792" s="3" t="s">
        <v>68</v>
      </c>
      <c r="C792" s="3" t="s">
        <v>174</v>
      </c>
      <c r="D792" s="3" t="s">
        <v>64</v>
      </c>
      <c r="E792" s="3" t="s">
        <v>266</v>
      </c>
      <c r="F792" s="3">
        <v>36</v>
      </c>
      <c r="G792" s="3" t="s">
        <v>16</v>
      </c>
      <c r="H792" s="3" t="s">
        <v>1672</v>
      </c>
      <c r="I792" s="3"/>
      <c r="J792" s="3" t="s">
        <v>17</v>
      </c>
      <c r="K792" s="3">
        <v>74400</v>
      </c>
    </row>
    <row r="793" spans="1:11">
      <c r="A793" s="3" t="s">
        <v>1673</v>
      </c>
      <c r="B793" s="3" t="s">
        <v>47</v>
      </c>
      <c r="C793" s="3" t="s">
        <v>205</v>
      </c>
      <c r="D793" s="3" t="s">
        <v>21</v>
      </c>
      <c r="E793" s="3" t="s">
        <v>95</v>
      </c>
      <c r="F793" s="3">
        <v>39</v>
      </c>
      <c r="G793" s="3" t="s">
        <v>16</v>
      </c>
      <c r="H793" s="3" t="s">
        <v>1674</v>
      </c>
      <c r="I793" s="3" t="s">
        <v>947</v>
      </c>
      <c r="J793" s="3" t="s">
        <v>51</v>
      </c>
      <c r="K793" s="3">
        <v>66826</v>
      </c>
    </row>
    <row r="794" spans="1:11">
      <c r="A794" s="3" t="s">
        <v>1675</v>
      </c>
      <c r="B794" s="3" t="s">
        <v>19</v>
      </c>
      <c r="C794" s="3" t="s">
        <v>42</v>
      </c>
      <c r="D794" s="3" t="s">
        <v>21</v>
      </c>
      <c r="E794" s="3" t="s">
        <v>87</v>
      </c>
      <c r="F794" s="3">
        <v>41</v>
      </c>
      <c r="G794" s="3" t="s">
        <v>16</v>
      </c>
      <c r="H794" s="3" t="s">
        <v>1676</v>
      </c>
      <c r="I794" s="3"/>
      <c r="J794" s="3" t="s">
        <v>17</v>
      </c>
      <c r="K794" s="3">
        <v>44867</v>
      </c>
    </row>
    <row r="795" spans="1:11">
      <c r="A795" s="3" t="s">
        <v>1677</v>
      </c>
      <c r="B795" s="3" t="s">
        <v>112</v>
      </c>
      <c r="C795" s="3" t="s">
        <v>146</v>
      </c>
      <c r="D795" s="3" t="s">
        <v>27</v>
      </c>
      <c r="E795" s="3" t="s">
        <v>28</v>
      </c>
      <c r="F795" s="3">
        <v>31</v>
      </c>
      <c r="G795" s="3" t="s">
        <v>16</v>
      </c>
      <c r="H795" s="3" t="s">
        <v>1678</v>
      </c>
      <c r="I795" s="3"/>
      <c r="J795" s="3" t="s">
        <v>17</v>
      </c>
      <c r="K795" s="3">
        <v>32044</v>
      </c>
    </row>
    <row r="796" spans="1:11">
      <c r="A796" s="3" t="s">
        <v>1679</v>
      </c>
      <c r="B796" s="3" t="s">
        <v>226</v>
      </c>
      <c r="C796" s="3" t="s">
        <v>53</v>
      </c>
      <c r="D796" s="3" t="s">
        <v>809</v>
      </c>
      <c r="E796" s="3" t="s">
        <v>44</v>
      </c>
      <c r="F796" s="3">
        <v>28</v>
      </c>
      <c r="G796" s="3" t="s">
        <v>16</v>
      </c>
      <c r="H796" s="3" t="s">
        <v>881</v>
      </c>
      <c r="I796" s="3"/>
      <c r="J796" s="3" t="s">
        <v>17</v>
      </c>
      <c r="K796" s="3">
        <v>33405</v>
      </c>
    </row>
    <row r="797" spans="1:11">
      <c r="A797" s="3" t="s">
        <v>1680</v>
      </c>
      <c r="B797" s="3" t="s">
        <v>121</v>
      </c>
      <c r="C797" s="3" t="s">
        <v>59</v>
      </c>
      <c r="D797" s="3" t="s">
        <v>43</v>
      </c>
      <c r="E797" s="3" t="s">
        <v>70</v>
      </c>
      <c r="F797" s="3">
        <v>22</v>
      </c>
      <c r="G797" s="3" t="s">
        <v>16</v>
      </c>
      <c r="H797" s="3" t="s">
        <v>1681</v>
      </c>
      <c r="I797" s="3"/>
      <c r="J797" s="3" t="s">
        <v>17</v>
      </c>
      <c r="K797" s="3">
        <v>58910</v>
      </c>
    </row>
    <row r="798" spans="1:11">
      <c r="A798" s="3" t="s">
        <v>1682</v>
      </c>
      <c r="B798" s="3" t="s">
        <v>78</v>
      </c>
      <c r="C798" s="3" t="s">
        <v>13</v>
      </c>
      <c r="D798" s="3" t="s">
        <v>14</v>
      </c>
      <c r="E798" s="3" t="s">
        <v>75</v>
      </c>
      <c r="F798" s="3">
        <v>25</v>
      </c>
      <c r="G798" s="3" t="s">
        <v>16</v>
      </c>
      <c r="H798" s="3" t="s">
        <v>1683</v>
      </c>
      <c r="I798" s="3" t="s">
        <v>291</v>
      </c>
      <c r="J798" s="3" t="s">
        <v>51</v>
      </c>
      <c r="K798" s="3">
        <v>40656</v>
      </c>
    </row>
    <row r="799" spans="1:11">
      <c r="A799" s="3" t="s">
        <v>1684</v>
      </c>
      <c r="B799" s="3" t="s">
        <v>160</v>
      </c>
      <c r="C799" s="3" t="s">
        <v>69</v>
      </c>
      <c r="D799" s="3" t="s">
        <v>21</v>
      </c>
      <c r="E799" s="3" t="s">
        <v>95</v>
      </c>
      <c r="F799" s="3">
        <v>26</v>
      </c>
      <c r="G799" s="3" t="s">
        <v>16</v>
      </c>
      <c r="H799" s="3" t="s">
        <v>1685</v>
      </c>
      <c r="I799" s="3" t="s">
        <v>1686</v>
      </c>
      <c r="J799" s="3" t="s">
        <v>51</v>
      </c>
      <c r="K799" s="3">
        <v>27571</v>
      </c>
    </row>
    <row r="800" spans="1:11">
      <c r="A800" s="3" t="s">
        <v>1687</v>
      </c>
      <c r="B800" s="3" t="s">
        <v>106</v>
      </c>
      <c r="C800" s="3" t="s">
        <v>94</v>
      </c>
      <c r="D800" s="3" t="s">
        <v>64</v>
      </c>
      <c r="E800" s="3" t="s">
        <v>65</v>
      </c>
      <c r="F800" s="3">
        <v>21</v>
      </c>
      <c r="G800" s="3" t="s">
        <v>16</v>
      </c>
      <c r="H800" s="3" t="s">
        <v>1688</v>
      </c>
      <c r="I800" s="3"/>
      <c r="J800" s="3" t="s">
        <v>17</v>
      </c>
      <c r="K800" s="3">
        <v>62747</v>
      </c>
    </row>
    <row r="801" spans="1:11">
      <c r="A801" s="3" t="s">
        <v>1689</v>
      </c>
      <c r="B801" s="3" t="s">
        <v>68</v>
      </c>
      <c r="C801" s="3" t="s">
        <v>32</v>
      </c>
      <c r="D801" s="3" t="s">
        <v>64</v>
      </c>
      <c r="E801" s="3" t="s">
        <v>161</v>
      </c>
      <c r="F801" s="3">
        <v>21</v>
      </c>
      <c r="G801" s="3" t="s">
        <v>23</v>
      </c>
      <c r="H801" s="3" t="s">
        <v>1283</v>
      </c>
      <c r="I801" s="3"/>
      <c r="J801" s="3" t="s">
        <v>17</v>
      </c>
      <c r="K801" s="3">
        <v>35746</v>
      </c>
    </row>
    <row r="802" spans="1:11">
      <c r="A802" s="3" t="s">
        <v>1690</v>
      </c>
      <c r="B802" s="3" t="s">
        <v>68</v>
      </c>
      <c r="C802" s="3" t="s">
        <v>213</v>
      </c>
      <c r="D802" s="3" t="s">
        <v>27</v>
      </c>
      <c r="E802" s="3" t="s">
        <v>54</v>
      </c>
      <c r="F802" s="3">
        <v>35</v>
      </c>
      <c r="G802" s="3" t="s">
        <v>16</v>
      </c>
      <c r="H802" s="3" t="s">
        <v>1061</v>
      </c>
      <c r="I802" s="3" t="s">
        <v>477</v>
      </c>
      <c r="J802" s="3" t="s">
        <v>51</v>
      </c>
      <c r="K802" s="3">
        <v>72645</v>
      </c>
    </row>
    <row r="803" spans="1:11">
      <c r="A803" s="3" t="s">
        <v>1691</v>
      </c>
      <c r="B803" s="3" t="s">
        <v>31</v>
      </c>
      <c r="C803" s="3" t="s">
        <v>53</v>
      </c>
      <c r="D803" s="3" t="s">
        <v>64</v>
      </c>
      <c r="E803" s="3" t="s">
        <v>266</v>
      </c>
      <c r="F803" s="3">
        <v>42</v>
      </c>
      <c r="G803" s="3" t="s">
        <v>16</v>
      </c>
      <c r="H803" s="3" t="s">
        <v>449</v>
      </c>
      <c r="I803" s="3" t="s">
        <v>1692</v>
      </c>
      <c r="J803" s="3" t="s">
        <v>51</v>
      </c>
      <c r="K803" s="3">
        <v>66758</v>
      </c>
    </row>
    <row r="804" spans="1:11">
      <c r="A804" s="3" t="s">
        <v>1693</v>
      </c>
      <c r="B804" s="3" t="s">
        <v>468</v>
      </c>
      <c r="C804" s="3" t="s">
        <v>213</v>
      </c>
      <c r="D804" s="3" t="s">
        <v>64</v>
      </c>
      <c r="E804" s="3" t="s">
        <v>266</v>
      </c>
      <c r="F804" s="3">
        <v>32</v>
      </c>
      <c r="G804" s="3" t="s">
        <v>16</v>
      </c>
      <c r="H804" s="3" t="s">
        <v>1694</v>
      </c>
      <c r="I804" s="3"/>
      <c r="J804" s="3" t="s">
        <v>17</v>
      </c>
      <c r="K804" s="3">
        <v>65270</v>
      </c>
    </row>
    <row r="805" spans="1:11">
      <c r="A805" s="3" t="s">
        <v>1695</v>
      </c>
      <c r="B805" s="3" t="s">
        <v>102</v>
      </c>
      <c r="C805" s="3" t="s">
        <v>146</v>
      </c>
      <c r="D805" s="3" t="s">
        <v>27</v>
      </c>
      <c r="E805" s="3" t="s">
        <v>54</v>
      </c>
      <c r="F805" s="3">
        <v>29</v>
      </c>
      <c r="G805" s="3" t="s">
        <v>23</v>
      </c>
      <c r="H805" s="4">
        <v>46134</v>
      </c>
      <c r="I805" s="3"/>
      <c r="J805" s="3" t="s">
        <v>17</v>
      </c>
      <c r="K805" s="3">
        <v>34222</v>
      </c>
    </row>
    <row r="806" spans="1:11">
      <c r="A806" s="3" t="s">
        <v>1696</v>
      </c>
      <c r="B806" s="3" t="s">
        <v>106</v>
      </c>
      <c r="C806" s="3" t="s">
        <v>32</v>
      </c>
      <c r="D806" s="3" t="s">
        <v>21</v>
      </c>
      <c r="E806" s="3" t="s">
        <v>22</v>
      </c>
      <c r="F806" s="3">
        <v>44</v>
      </c>
      <c r="G806" s="3" t="s">
        <v>23</v>
      </c>
      <c r="H806" s="3" t="s">
        <v>1697</v>
      </c>
      <c r="I806" s="3" t="s">
        <v>1698</v>
      </c>
      <c r="J806" s="3" t="s">
        <v>51</v>
      </c>
      <c r="K806" s="3">
        <v>52896</v>
      </c>
    </row>
    <row r="807" spans="1:11">
      <c r="A807" s="3" t="s">
        <v>1699</v>
      </c>
      <c r="B807" s="3" t="s">
        <v>112</v>
      </c>
      <c r="C807" s="3" t="s">
        <v>26</v>
      </c>
      <c r="D807" s="3" t="s">
        <v>21</v>
      </c>
      <c r="E807" s="3" t="s">
        <v>87</v>
      </c>
      <c r="F807" s="3">
        <v>33</v>
      </c>
      <c r="G807" s="3" t="s">
        <v>16</v>
      </c>
      <c r="H807" s="3" t="s">
        <v>425</v>
      </c>
      <c r="I807" s="3"/>
      <c r="J807" s="3" t="s">
        <v>17</v>
      </c>
      <c r="K807" s="3">
        <v>40316</v>
      </c>
    </row>
    <row r="808" spans="1:11">
      <c r="A808" s="3" t="s">
        <v>1700</v>
      </c>
      <c r="B808" s="3" t="s">
        <v>238</v>
      </c>
      <c r="C808" s="3" t="s">
        <v>63</v>
      </c>
      <c r="D808" s="3" t="s">
        <v>594</v>
      </c>
      <c r="E808" s="3" t="s">
        <v>65</v>
      </c>
      <c r="F808" s="3">
        <v>27</v>
      </c>
      <c r="G808" s="3" t="s">
        <v>16</v>
      </c>
      <c r="H808" s="3" t="s">
        <v>1701</v>
      </c>
      <c r="I808" s="3"/>
      <c r="J808" s="3" t="s">
        <v>17</v>
      </c>
      <c r="K808" s="3">
        <v>59484</v>
      </c>
    </row>
    <row r="809" spans="1:11">
      <c r="A809" s="3" t="s">
        <v>1702</v>
      </c>
      <c r="B809" s="3" t="s">
        <v>223</v>
      </c>
      <c r="C809" s="3" t="s">
        <v>129</v>
      </c>
      <c r="D809" s="3" t="s">
        <v>27</v>
      </c>
      <c r="E809" s="3" t="s">
        <v>122</v>
      </c>
      <c r="F809" s="3">
        <v>36</v>
      </c>
      <c r="G809" s="3" t="s">
        <v>16</v>
      </c>
      <c r="H809" s="3" t="s">
        <v>1703</v>
      </c>
      <c r="I809" s="3"/>
      <c r="J809" s="3" t="s">
        <v>17</v>
      </c>
      <c r="K809" s="3">
        <v>60669</v>
      </c>
    </row>
    <row r="810" spans="1:11">
      <c r="A810" s="3" t="s">
        <v>1704</v>
      </c>
      <c r="B810" s="3" t="s">
        <v>98</v>
      </c>
      <c r="C810" s="3" t="s">
        <v>169</v>
      </c>
      <c r="D810" s="3" t="s">
        <v>43</v>
      </c>
      <c r="E810" s="3" t="s">
        <v>44</v>
      </c>
      <c r="F810" s="3">
        <v>27</v>
      </c>
      <c r="G810" s="3" t="s">
        <v>23</v>
      </c>
      <c r="H810" s="3" t="s">
        <v>1464</v>
      </c>
      <c r="I810" s="3"/>
      <c r="J810" s="3" t="s">
        <v>17</v>
      </c>
      <c r="K810" s="3">
        <v>21625</v>
      </c>
    </row>
    <row r="811" spans="1:11">
      <c r="A811" s="3" t="s">
        <v>1705</v>
      </c>
      <c r="B811" s="3" t="s">
        <v>125</v>
      </c>
      <c r="C811" s="3" t="s">
        <v>20</v>
      </c>
      <c r="D811" s="3" t="s">
        <v>33</v>
      </c>
      <c r="E811" s="3" t="s">
        <v>34</v>
      </c>
      <c r="F811" s="3">
        <v>26</v>
      </c>
      <c r="G811" s="3" t="s">
        <v>16</v>
      </c>
      <c r="H811" s="3" t="s">
        <v>1706</v>
      </c>
      <c r="I811" s="3" t="s">
        <v>990</v>
      </c>
      <c r="J811" s="3" t="s">
        <v>51</v>
      </c>
      <c r="K811" s="3">
        <v>78772</v>
      </c>
    </row>
    <row r="812" spans="1:11">
      <c r="A812" s="3" t="s">
        <v>1707</v>
      </c>
      <c r="B812" s="3" t="s">
        <v>25</v>
      </c>
      <c r="C812" s="3" t="s">
        <v>146</v>
      </c>
      <c r="D812" s="3" t="s">
        <v>21</v>
      </c>
      <c r="E812" s="3" t="s">
        <v>22</v>
      </c>
      <c r="F812" s="3">
        <v>27</v>
      </c>
      <c r="G812" s="3" t="s">
        <v>23</v>
      </c>
      <c r="H812" s="4">
        <v>43672</v>
      </c>
      <c r="I812" s="3"/>
      <c r="J812" s="3" t="s">
        <v>17</v>
      </c>
      <c r="K812" s="3">
        <v>18000</v>
      </c>
    </row>
    <row r="813" spans="1:11">
      <c r="A813" s="3" t="s">
        <v>1708</v>
      </c>
      <c r="B813" s="3" t="s">
        <v>401</v>
      </c>
      <c r="C813" s="3" t="s">
        <v>113</v>
      </c>
      <c r="D813" s="3" t="s">
        <v>14</v>
      </c>
      <c r="E813" s="3" t="s">
        <v>15</v>
      </c>
      <c r="F813" s="3">
        <v>39</v>
      </c>
      <c r="G813" s="3" t="s">
        <v>16</v>
      </c>
      <c r="H813" s="3" t="s">
        <v>1709</v>
      </c>
      <c r="I813" s="3"/>
      <c r="J813" s="3" t="s">
        <v>17</v>
      </c>
      <c r="K813" s="3">
        <v>61596</v>
      </c>
    </row>
    <row r="814" spans="1:11">
      <c r="A814" s="3" t="s">
        <v>1710</v>
      </c>
      <c r="B814" s="3" t="s">
        <v>263</v>
      </c>
      <c r="C814" s="3" t="s">
        <v>74</v>
      </c>
      <c r="D814" s="3" t="s">
        <v>33</v>
      </c>
      <c r="E814" s="3" t="s">
        <v>34</v>
      </c>
      <c r="F814" s="3">
        <v>41</v>
      </c>
      <c r="G814" s="3" t="s">
        <v>23</v>
      </c>
      <c r="H814" s="3" t="s">
        <v>1617</v>
      </c>
      <c r="I814" s="3"/>
      <c r="J814" s="3" t="s">
        <v>17</v>
      </c>
      <c r="K814" s="3">
        <v>57423</v>
      </c>
    </row>
    <row r="815" spans="1:11">
      <c r="A815" s="3" t="s">
        <v>1711</v>
      </c>
      <c r="B815" s="3" t="s">
        <v>62</v>
      </c>
      <c r="C815" s="3" t="s">
        <v>20</v>
      </c>
      <c r="D815" s="3" t="s">
        <v>21</v>
      </c>
      <c r="E815" s="3" t="s">
        <v>87</v>
      </c>
      <c r="F815" s="3">
        <v>24</v>
      </c>
      <c r="G815" s="3" t="s">
        <v>23</v>
      </c>
      <c r="H815" s="3" t="s">
        <v>1712</v>
      </c>
      <c r="I815" s="3"/>
      <c r="J815" s="3" t="s">
        <v>17</v>
      </c>
      <c r="K815" s="3">
        <v>67217</v>
      </c>
    </row>
    <row r="816" spans="1:11">
      <c r="A816" s="3" t="s">
        <v>1713</v>
      </c>
      <c r="B816" s="3" t="s">
        <v>68</v>
      </c>
      <c r="C816" s="3" t="s">
        <v>32</v>
      </c>
      <c r="D816" s="3" t="s">
        <v>21</v>
      </c>
      <c r="E816" s="3" t="s">
        <v>155</v>
      </c>
      <c r="F816" s="3">
        <v>24</v>
      </c>
      <c r="G816" s="3" t="s">
        <v>16</v>
      </c>
      <c r="H816" s="4">
        <v>44330</v>
      </c>
      <c r="I816" s="3"/>
      <c r="J816" s="3" t="s">
        <v>17</v>
      </c>
      <c r="K816" s="3">
        <v>59459</v>
      </c>
    </row>
    <row r="817" spans="1:11">
      <c r="A817" s="3" t="s">
        <v>1714</v>
      </c>
      <c r="B817" s="3" t="s">
        <v>73</v>
      </c>
      <c r="C817" s="3" t="s">
        <v>53</v>
      </c>
      <c r="D817" s="3" t="s">
        <v>27</v>
      </c>
      <c r="E817" s="3" t="s">
        <v>28</v>
      </c>
      <c r="F817" s="3">
        <v>23</v>
      </c>
      <c r="G817" s="3" t="s">
        <v>16</v>
      </c>
      <c r="H817" s="3" t="s">
        <v>1715</v>
      </c>
      <c r="I817" s="3"/>
      <c r="J817" s="3" t="s">
        <v>17</v>
      </c>
      <c r="K817" s="3">
        <v>38296</v>
      </c>
    </row>
    <row r="818" spans="1:11">
      <c r="A818" s="3" t="s">
        <v>1716</v>
      </c>
      <c r="B818" s="3" t="s">
        <v>238</v>
      </c>
      <c r="C818" s="3" t="s">
        <v>129</v>
      </c>
      <c r="D818" s="3" t="s">
        <v>27</v>
      </c>
      <c r="E818" s="3" t="s">
        <v>122</v>
      </c>
      <c r="F818" s="3">
        <v>37</v>
      </c>
      <c r="G818" s="3" t="s">
        <v>16</v>
      </c>
      <c r="H818" s="3" t="s">
        <v>1578</v>
      </c>
      <c r="I818" s="3"/>
      <c r="J818" s="3" t="s">
        <v>17</v>
      </c>
      <c r="K818" s="3">
        <v>79317</v>
      </c>
    </row>
    <row r="819" spans="1:11">
      <c r="A819" s="3" t="s">
        <v>1717</v>
      </c>
      <c r="B819" s="3" t="s">
        <v>226</v>
      </c>
      <c r="C819" s="3" t="s">
        <v>53</v>
      </c>
      <c r="D819" s="3" t="s">
        <v>43</v>
      </c>
      <c r="E819" s="3" t="s">
        <v>44</v>
      </c>
      <c r="F819" s="3">
        <v>35</v>
      </c>
      <c r="G819" s="3" t="s">
        <v>23</v>
      </c>
      <c r="H819" s="3" t="s">
        <v>1718</v>
      </c>
      <c r="I819" s="3"/>
      <c r="J819" s="3" t="s">
        <v>17</v>
      </c>
      <c r="K819" s="3">
        <v>106791</v>
      </c>
    </row>
    <row r="820" spans="1:11">
      <c r="A820" s="3" t="s">
        <v>1719</v>
      </c>
      <c r="B820" s="3" t="s">
        <v>37</v>
      </c>
      <c r="C820" s="3" t="s">
        <v>146</v>
      </c>
      <c r="D820" s="3" t="s">
        <v>435</v>
      </c>
      <c r="E820" s="3" t="s">
        <v>79</v>
      </c>
      <c r="F820" s="3">
        <v>31</v>
      </c>
      <c r="G820" s="3" t="s">
        <v>16</v>
      </c>
      <c r="H820" s="3" t="s">
        <v>1720</v>
      </c>
      <c r="I820" s="3" t="s">
        <v>1721</v>
      </c>
      <c r="J820" s="3" t="s">
        <v>51</v>
      </c>
      <c r="K820" s="3">
        <v>55549</v>
      </c>
    </row>
    <row r="821" spans="1:11">
      <c r="A821" s="3" t="s">
        <v>1722</v>
      </c>
      <c r="B821" s="3" t="s">
        <v>152</v>
      </c>
      <c r="C821" s="3" t="s">
        <v>146</v>
      </c>
      <c r="D821" s="3" t="s">
        <v>21</v>
      </c>
      <c r="E821" s="3" t="s">
        <v>87</v>
      </c>
      <c r="F821" s="3">
        <v>35</v>
      </c>
      <c r="G821" s="3" t="s">
        <v>23</v>
      </c>
      <c r="H821" s="3" t="s">
        <v>1204</v>
      </c>
      <c r="I821" s="3"/>
      <c r="J821" s="3" t="s">
        <v>17</v>
      </c>
      <c r="K821" s="3">
        <v>63570</v>
      </c>
    </row>
    <row r="822" spans="1:11">
      <c r="A822" s="3" t="s">
        <v>1723</v>
      </c>
      <c r="B822" s="3" t="s">
        <v>226</v>
      </c>
      <c r="C822" s="3" t="s">
        <v>169</v>
      </c>
      <c r="D822" s="3" t="s">
        <v>27</v>
      </c>
      <c r="E822" s="3" t="s">
        <v>122</v>
      </c>
      <c r="F822" s="3">
        <v>30</v>
      </c>
      <c r="G822" s="3" t="s">
        <v>23</v>
      </c>
      <c r="H822" s="3" t="s">
        <v>1724</v>
      </c>
      <c r="I822" s="3"/>
      <c r="J822" s="3" t="s">
        <v>17</v>
      </c>
      <c r="K822" s="3">
        <v>43587</v>
      </c>
    </row>
    <row r="823" spans="1:11">
      <c r="A823" s="3" t="s">
        <v>1725</v>
      </c>
      <c r="B823" s="3" t="s">
        <v>186</v>
      </c>
      <c r="C823" s="3" t="s">
        <v>164</v>
      </c>
      <c r="D823" s="3" t="s">
        <v>43</v>
      </c>
      <c r="E823" s="3" t="s">
        <v>48</v>
      </c>
      <c r="F823" s="3">
        <v>41</v>
      </c>
      <c r="G823" s="3" t="s">
        <v>23</v>
      </c>
      <c r="H823" s="3" t="s">
        <v>1726</v>
      </c>
      <c r="I823" s="3"/>
      <c r="J823" s="3" t="s">
        <v>17</v>
      </c>
      <c r="K823" s="3">
        <v>55577</v>
      </c>
    </row>
    <row r="824" spans="1:11">
      <c r="A824" s="3" t="s">
        <v>1727</v>
      </c>
      <c r="B824" s="3" t="s">
        <v>98</v>
      </c>
      <c r="C824" s="3" t="s">
        <v>94</v>
      </c>
      <c r="D824" s="3" t="s">
        <v>43</v>
      </c>
      <c r="E824" s="3" t="s">
        <v>44</v>
      </c>
      <c r="F824" s="3">
        <v>29</v>
      </c>
      <c r="G824" s="3" t="s">
        <v>16</v>
      </c>
      <c r="H824" s="3" t="s">
        <v>1728</v>
      </c>
      <c r="I824" s="3"/>
      <c r="J824" s="3" t="s">
        <v>17</v>
      </c>
      <c r="K824" s="3">
        <v>30746</v>
      </c>
    </row>
    <row r="825" spans="1:11">
      <c r="A825" s="3" t="s">
        <v>1729</v>
      </c>
      <c r="B825" s="3" t="s">
        <v>37</v>
      </c>
      <c r="C825" s="3" t="s">
        <v>13</v>
      </c>
      <c r="D825" s="3" t="s">
        <v>27</v>
      </c>
      <c r="E825" s="3" t="s">
        <v>28</v>
      </c>
      <c r="F825" s="3">
        <v>33</v>
      </c>
      <c r="G825" s="3" t="s">
        <v>16</v>
      </c>
      <c r="H825" s="3" t="s">
        <v>1730</v>
      </c>
      <c r="I825" s="3"/>
      <c r="J825" s="3" t="s">
        <v>17</v>
      </c>
      <c r="K825" s="3">
        <v>49836</v>
      </c>
    </row>
    <row r="826" spans="1:11">
      <c r="A826" s="3" t="s">
        <v>1731</v>
      </c>
      <c r="B826" s="3" t="s">
        <v>223</v>
      </c>
      <c r="C826" s="3" t="s">
        <v>164</v>
      </c>
      <c r="D826" s="3" t="s">
        <v>33</v>
      </c>
      <c r="E826" s="3" t="s">
        <v>79</v>
      </c>
      <c r="F826" s="3">
        <v>38</v>
      </c>
      <c r="G826" s="3" t="s">
        <v>16</v>
      </c>
      <c r="H826" s="3" t="s">
        <v>1732</v>
      </c>
      <c r="I826" s="3"/>
      <c r="J826" s="3" t="s">
        <v>17</v>
      </c>
      <c r="K826" s="3">
        <v>37585</v>
      </c>
    </row>
    <row r="827" spans="1:11">
      <c r="A827" s="3" t="s">
        <v>1733</v>
      </c>
      <c r="B827" s="3" t="s">
        <v>238</v>
      </c>
      <c r="C827" s="3" t="s">
        <v>174</v>
      </c>
      <c r="D827" s="3" t="s">
        <v>43</v>
      </c>
      <c r="E827" s="3" t="s">
        <v>44</v>
      </c>
      <c r="F827" s="3">
        <v>24</v>
      </c>
      <c r="G827" s="3" t="s">
        <v>23</v>
      </c>
      <c r="H827" s="3" t="s">
        <v>1734</v>
      </c>
      <c r="I827" s="3"/>
      <c r="J827" s="3" t="s">
        <v>17</v>
      </c>
      <c r="K827" s="3">
        <v>78753</v>
      </c>
    </row>
    <row r="828" spans="1:11">
      <c r="A828" s="3" t="s">
        <v>1735</v>
      </c>
      <c r="B828" s="3" t="s">
        <v>31</v>
      </c>
      <c r="C828" s="3" t="s">
        <v>94</v>
      </c>
      <c r="D828" s="3" t="s">
        <v>33</v>
      </c>
      <c r="E828" s="3" t="s">
        <v>79</v>
      </c>
      <c r="F828" s="3">
        <v>25</v>
      </c>
      <c r="G828" s="3" t="s">
        <v>16</v>
      </c>
      <c r="H828" s="3" t="s">
        <v>1736</v>
      </c>
      <c r="I828" s="3"/>
      <c r="J828" s="3" t="s">
        <v>17</v>
      </c>
      <c r="K828" s="3">
        <v>57075</v>
      </c>
    </row>
    <row r="829" spans="1:11">
      <c r="A829" s="3" t="s">
        <v>1737</v>
      </c>
      <c r="B829" s="3" t="s">
        <v>145</v>
      </c>
      <c r="C829" s="3" t="s">
        <v>32</v>
      </c>
      <c r="D829" s="3" t="s">
        <v>239</v>
      </c>
      <c r="E829" s="3" t="s">
        <v>122</v>
      </c>
      <c r="F829" s="3">
        <v>56</v>
      </c>
      <c r="G829" s="3" t="s">
        <v>23</v>
      </c>
      <c r="H829" s="3" t="s">
        <v>1738</v>
      </c>
      <c r="I829" s="3"/>
      <c r="J829" s="3" t="s">
        <v>17</v>
      </c>
      <c r="K829" s="3">
        <v>45099</v>
      </c>
    </row>
    <row r="830" spans="1:11">
      <c r="A830" s="3" t="s">
        <v>1739</v>
      </c>
      <c r="B830" s="3" t="s">
        <v>78</v>
      </c>
      <c r="C830" s="3" t="s">
        <v>20</v>
      </c>
      <c r="D830" s="3" t="s">
        <v>27</v>
      </c>
      <c r="E830" s="3" t="s">
        <v>28</v>
      </c>
      <c r="F830" s="3">
        <v>25</v>
      </c>
      <c r="G830" s="3" t="s">
        <v>16</v>
      </c>
      <c r="H830" s="3" t="s">
        <v>1740</v>
      </c>
      <c r="I830" s="3"/>
      <c r="J830" s="3" t="s">
        <v>17</v>
      </c>
      <c r="K830" s="3">
        <v>81416</v>
      </c>
    </row>
    <row r="831" spans="1:11">
      <c r="A831" s="3" t="s">
        <v>1741</v>
      </c>
      <c r="B831" s="3" t="s">
        <v>226</v>
      </c>
      <c r="C831" s="3" t="s">
        <v>38</v>
      </c>
      <c r="D831" s="3" t="s">
        <v>21</v>
      </c>
      <c r="E831" s="3" t="s">
        <v>87</v>
      </c>
      <c r="F831" s="3">
        <v>22</v>
      </c>
      <c r="G831" s="3" t="s">
        <v>16</v>
      </c>
      <c r="H831" s="3" t="s">
        <v>1742</v>
      </c>
      <c r="I831" s="3"/>
      <c r="J831" s="3" t="s">
        <v>17</v>
      </c>
      <c r="K831" s="3">
        <v>98809</v>
      </c>
    </row>
    <row r="832" spans="1:11">
      <c r="A832" s="3" t="s">
        <v>1743</v>
      </c>
      <c r="B832" s="3" t="s">
        <v>102</v>
      </c>
      <c r="C832" s="3" t="s">
        <v>20</v>
      </c>
      <c r="D832" s="3" t="s">
        <v>43</v>
      </c>
      <c r="E832" s="3" t="s">
        <v>48</v>
      </c>
      <c r="F832" s="3">
        <v>45</v>
      </c>
      <c r="G832" s="3" t="s">
        <v>23</v>
      </c>
      <c r="H832" s="3" t="s">
        <v>1304</v>
      </c>
      <c r="I832" s="3"/>
      <c r="J832" s="3" t="s">
        <v>17</v>
      </c>
      <c r="K832" s="3">
        <v>86126</v>
      </c>
    </row>
    <row r="833" spans="1:11">
      <c r="A833" s="3" t="s">
        <v>1744</v>
      </c>
      <c r="B833" s="3" t="s">
        <v>62</v>
      </c>
      <c r="C833" s="3" t="s">
        <v>103</v>
      </c>
      <c r="D833" s="3" t="s">
        <v>64</v>
      </c>
      <c r="E833" s="3" t="s">
        <v>161</v>
      </c>
      <c r="F833" s="3">
        <v>25</v>
      </c>
      <c r="G833" s="3" t="s">
        <v>16</v>
      </c>
      <c r="H833" s="3" t="s">
        <v>1745</v>
      </c>
      <c r="I833" s="3" t="s">
        <v>1746</v>
      </c>
      <c r="J833" s="3" t="s">
        <v>51</v>
      </c>
      <c r="K833" s="3">
        <v>41693</v>
      </c>
    </row>
    <row r="834" spans="1:11">
      <c r="A834" s="3" t="s">
        <v>1747</v>
      </c>
      <c r="B834" s="3" t="s">
        <v>125</v>
      </c>
      <c r="C834" s="3" t="s">
        <v>205</v>
      </c>
      <c r="D834" s="3" t="s">
        <v>27</v>
      </c>
      <c r="E834" s="3" t="s">
        <v>28</v>
      </c>
      <c r="F834" s="3">
        <v>28</v>
      </c>
      <c r="G834" s="3" t="s">
        <v>16</v>
      </c>
      <c r="H834" s="3" t="s">
        <v>96</v>
      </c>
      <c r="I834" s="3"/>
      <c r="J834" s="3" t="s">
        <v>17</v>
      </c>
      <c r="K834" s="3">
        <v>34779</v>
      </c>
    </row>
    <row r="835" spans="1:11">
      <c r="A835" s="3" t="s">
        <v>1748</v>
      </c>
      <c r="B835" s="3" t="s">
        <v>58</v>
      </c>
      <c r="C835" s="3" t="s">
        <v>213</v>
      </c>
      <c r="D835" s="3" t="s">
        <v>64</v>
      </c>
      <c r="E835" s="3" t="s">
        <v>161</v>
      </c>
      <c r="F835" s="3">
        <v>36</v>
      </c>
      <c r="G835" s="3" t="s">
        <v>16</v>
      </c>
      <c r="H835" s="3" t="s">
        <v>1749</v>
      </c>
      <c r="I835" s="3"/>
      <c r="J835" s="3" t="s">
        <v>17</v>
      </c>
      <c r="K835" s="3">
        <v>46770</v>
      </c>
    </row>
    <row r="836" spans="1:11">
      <c r="A836" s="3" t="s">
        <v>1750</v>
      </c>
      <c r="B836" s="3" t="s">
        <v>226</v>
      </c>
      <c r="C836" s="3" t="s">
        <v>53</v>
      </c>
      <c r="D836" s="3" t="s">
        <v>64</v>
      </c>
      <c r="E836" s="3" t="s">
        <v>266</v>
      </c>
      <c r="F836" s="3">
        <v>31</v>
      </c>
      <c r="G836" s="3" t="s">
        <v>16</v>
      </c>
      <c r="H836" s="3" t="s">
        <v>1314</v>
      </c>
      <c r="I836" s="3"/>
      <c r="J836" s="3" t="s">
        <v>17</v>
      </c>
      <c r="K836" s="3">
        <v>52245</v>
      </c>
    </row>
    <row r="837" spans="1:11">
      <c r="A837" s="3" t="s">
        <v>1751</v>
      </c>
      <c r="B837" s="3" t="s">
        <v>68</v>
      </c>
      <c r="C837" s="3" t="s">
        <v>83</v>
      </c>
      <c r="D837" s="3" t="s">
        <v>64</v>
      </c>
      <c r="E837" s="3" t="s">
        <v>65</v>
      </c>
      <c r="F837" s="3">
        <v>29</v>
      </c>
      <c r="G837" s="3" t="s">
        <v>16</v>
      </c>
      <c r="H837" s="3" t="s">
        <v>1752</v>
      </c>
      <c r="I837" s="3"/>
      <c r="J837" s="3" t="s">
        <v>17</v>
      </c>
      <c r="K837" s="3">
        <v>71529</v>
      </c>
    </row>
    <row r="838" spans="1:11">
      <c r="A838" s="3" t="s">
        <v>1753</v>
      </c>
      <c r="B838" s="3" t="s">
        <v>141</v>
      </c>
      <c r="C838" s="3" t="s">
        <v>74</v>
      </c>
      <c r="D838" s="3" t="s">
        <v>14</v>
      </c>
      <c r="E838" s="3" t="s">
        <v>15</v>
      </c>
      <c r="F838" s="3">
        <v>21</v>
      </c>
      <c r="G838" s="3" t="s">
        <v>16</v>
      </c>
      <c r="H838" s="3" t="s">
        <v>1754</v>
      </c>
      <c r="I838" s="3"/>
      <c r="J838" s="3" t="s">
        <v>17</v>
      </c>
      <c r="K838" s="3">
        <v>30537</v>
      </c>
    </row>
    <row r="839" spans="1:11">
      <c r="A839" s="3" t="s">
        <v>1755</v>
      </c>
      <c r="B839" s="3" t="s">
        <v>263</v>
      </c>
      <c r="C839" s="3" t="s">
        <v>42</v>
      </c>
      <c r="D839" s="3" t="s">
        <v>43</v>
      </c>
      <c r="E839" s="3" t="s">
        <v>70</v>
      </c>
      <c r="F839" s="3">
        <v>45</v>
      </c>
      <c r="G839" s="3" t="s">
        <v>23</v>
      </c>
      <c r="H839" s="3" t="s">
        <v>1335</v>
      </c>
      <c r="I839" s="3"/>
      <c r="J839" s="3" t="s">
        <v>17</v>
      </c>
      <c r="K839" s="3">
        <v>42535</v>
      </c>
    </row>
    <row r="840" spans="1:11">
      <c r="A840" s="3" t="s">
        <v>1756</v>
      </c>
      <c r="B840" s="3" t="s">
        <v>141</v>
      </c>
      <c r="C840" s="3" t="s">
        <v>74</v>
      </c>
      <c r="D840" s="3" t="s">
        <v>43</v>
      </c>
      <c r="E840" s="3" t="s">
        <v>48</v>
      </c>
      <c r="F840" s="3">
        <v>36</v>
      </c>
      <c r="G840" s="3" t="s">
        <v>23</v>
      </c>
      <c r="H840" s="3" t="s">
        <v>1757</v>
      </c>
      <c r="I840" s="3"/>
      <c r="J840" s="3" t="s">
        <v>17</v>
      </c>
      <c r="K840" s="3">
        <v>46454</v>
      </c>
    </row>
    <row r="841" spans="1:11">
      <c r="A841" s="3" t="s">
        <v>1758</v>
      </c>
      <c r="B841" s="3" t="s">
        <v>145</v>
      </c>
      <c r="C841" s="3" t="s">
        <v>94</v>
      </c>
      <c r="D841" s="3" t="s">
        <v>21</v>
      </c>
      <c r="E841" s="3" t="s">
        <v>87</v>
      </c>
      <c r="F841" s="3">
        <v>44</v>
      </c>
      <c r="G841" s="3" t="s">
        <v>23</v>
      </c>
      <c r="H841" s="3" t="s">
        <v>1759</v>
      </c>
      <c r="I841" s="3"/>
      <c r="J841" s="3" t="s">
        <v>17</v>
      </c>
      <c r="K841" s="3">
        <v>95310</v>
      </c>
    </row>
    <row r="842" spans="1:11">
      <c r="A842" s="3" t="s">
        <v>1760</v>
      </c>
      <c r="B842" s="3" t="s">
        <v>58</v>
      </c>
      <c r="C842" s="3" t="s">
        <v>146</v>
      </c>
      <c r="D842" s="3" t="s">
        <v>187</v>
      </c>
      <c r="E842" s="3" t="s">
        <v>155</v>
      </c>
      <c r="F842" s="3">
        <v>39</v>
      </c>
      <c r="G842" s="3" t="s">
        <v>16</v>
      </c>
      <c r="H842" s="3" t="s">
        <v>1761</v>
      </c>
      <c r="I842" s="3" t="s">
        <v>1762</v>
      </c>
      <c r="J842" s="3" t="s">
        <v>51</v>
      </c>
      <c r="K842" s="3">
        <v>41079</v>
      </c>
    </row>
    <row r="843" spans="1:11">
      <c r="A843" s="3" t="s">
        <v>1763</v>
      </c>
      <c r="B843" s="3" t="s">
        <v>41</v>
      </c>
      <c r="C843" s="3" t="s">
        <v>26</v>
      </c>
      <c r="D843" s="3" t="s">
        <v>21</v>
      </c>
      <c r="E843" s="3" t="s">
        <v>87</v>
      </c>
      <c r="F843" s="3">
        <v>52</v>
      </c>
      <c r="G843" s="3" t="s">
        <v>16</v>
      </c>
      <c r="H843" s="3" t="s">
        <v>1764</v>
      </c>
      <c r="I843" s="3"/>
      <c r="J843" s="3" t="s">
        <v>17</v>
      </c>
      <c r="K843" s="3">
        <v>69286</v>
      </c>
    </row>
    <row r="844" spans="1:11">
      <c r="A844" s="3" t="s">
        <v>1765</v>
      </c>
      <c r="B844" s="3" t="s">
        <v>78</v>
      </c>
      <c r="C844" s="3" t="s">
        <v>113</v>
      </c>
      <c r="D844" s="3" t="s">
        <v>64</v>
      </c>
      <c r="E844" s="3" t="s">
        <v>65</v>
      </c>
      <c r="F844" s="3">
        <v>28</v>
      </c>
      <c r="G844" s="3" t="s">
        <v>16</v>
      </c>
      <c r="H844" s="3" t="s">
        <v>1766</v>
      </c>
      <c r="I844" s="3"/>
      <c r="J844" s="3" t="s">
        <v>17</v>
      </c>
      <c r="K844" s="3">
        <v>46749</v>
      </c>
    </row>
    <row r="845" spans="1:11">
      <c r="A845" s="3" t="s">
        <v>1767</v>
      </c>
      <c r="B845" s="3" t="s">
        <v>152</v>
      </c>
      <c r="C845" s="3" t="s">
        <v>205</v>
      </c>
      <c r="D845" s="3" t="s">
        <v>33</v>
      </c>
      <c r="E845" s="3" t="s">
        <v>79</v>
      </c>
      <c r="F845" s="3">
        <v>34</v>
      </c>
      <c r="G845" s="3" t="s">
        <v>16</v>
      </c>
      <c r="H845" s="3" t="s">
        <v>104</v>
      </c>
      <c r="I845" s="3"/>
      <c r="J845" s="3" t="s">
        <v>17</v>
      </c>
      <c r="K845" s="3">
        <v>41045</v>
      </c>
    </row>
    <row r="846" spans="1:11">
      <c r="A846" s="3" t="s">
        <v>1768</v>
      </c>
      <c r="B846" s="3" t="s">
        <v>25</v>
      </c>
      <c r="C846" s="3" t="s">
        <v>169</v>
      </c>
      <c r="D846" s="3" t="s">
        <v>187</v>
      </c>
      <c r="E846" s="3" t="s">
        <v>155</v>
      </c>
      <c r="F846" s="3">
        <v>32</v>
      </c>
      <c r="G846" s="3" t="s">
        <v>16</v>
      </c>
      <c r="H846" s="3" t="s">
        <v>1769</v>
      </c>
      <c r="I846" s="3"/>
      <c r="J846" s="3" t="s">
        <v>17</v>
      </c>
      <c r="K846" s="3">
        <v>38510</v>
      </c>
    </row>
    <row r="847" spans="1:11">
      <c r="A847" s="3" t="s">
        <v>1770</v>
      </c>
      <c r="B847" s="3" t="s">
        <v>288</v>
      </c>
      <c r="C847" s="3" t="s">
        <v>83</v>
      </c>
      <c r="D847" s="3" t="s">
        <v>594</v>
      </c>
      <c r="E847" s="3" t="s">
        <v>65</v>
      </c>
      <c r="F847" s="3">
        <v>25</v>
      </c>
      <c r="G847" s="3" t="s">
        <v>16</v>
      </c>
      <c r="H847" s="3" t="s">
        <v>1771</v>
      </c>
      <c r="I847" s="3"/>
      <c r="J847" s="3" t="s">
        <v>17</v>
      </c>
      <c r="K847" s="3">
        <v>60955</v>
      </c>
    </row>
    <row r="848" spans="1:11">
      <c r="A848" s="3" t="s">
        <v>1772</v>
      </c>
      <c r="B848" s="3" t="s">
        <v>216</v>
      </c>
      <c r="C848" s="3" t="s">
        <v>32</v>
      </c>
      <c r="D848" s="3" t="s">
        <v>321</v>
      </c>
      <c r="E848" s="3" t="s">
        <v>155</v>
      </c>
      <c r="F848" s="3">
        <v>49</v>
      </c>
      <c r="G848" s="3" t="s">
        <v>16</v>
      </c>
      <c r="H848" s="3" t="s">
        <v>1773</v>
      </c>
      <c r="I848" s="3"/>
      <c r="J848" s="3" t="s">
        <v>17</v>
      </c>
      <c r="K848" s="3">
        <v>43333</v>
      </c>
    </row>
    <row r="849" spans="1:11">
      <c r="A849" s="3" t="s">
        <v>1774</v>
      </c>
      <c r="B849" s="3" t="s">
        <v>152</v>
      </c>
      <c r="C849" s="3" t="s">
        <v>32</v>
      </c>
      <c r="D849" s="3" t="s">
        <v>27</v>
      </c>
      <c r="E849" s="3" t="s">
        <v>54</v>
      </c>
      <c r="F849" s="3">
        <v>26</v>
      </c>
      <c r="G849" s="3" t="s">
        <v>16</v>
      </c>
      <c r="H849" s="3" t="s">
        <v>1775</v>
      </c>
      <c r="I849" s="3"/>
      <c r="J849" s="3" t="s">
        <v>17</v>
      </c>
      <c r="K849" s="3">
        <v>37150</v>
      </c>
    </row>
    <row r="850" spans="1:11">
      <c r="A850" s="3" t="s">
        <v>1776</v>
      </c>
      <c r="B850" s="3" t="s">
        <v>186</v>
      </c>
      <c r="C850" s="3" t="s">
        <v>174</v>
      </c>
      <c r="D850" s="3" t="s">
        <v>27</v>
      </c>
      <c r="E850" s="3" t="s">
        <v>54</v>
      </c>
      <c r="F850" s="3">
        <v>40</v>
      </c>
      <c r="G850" s="3" t="s">
        <v>23</v>
      </c>
      <c r="H850" s="3" t="s">
        <v>1777</v>
      </c>
      <c r="I850" s="3"/>
      <c r="J850" s="3" t="s">
        <v>17</v>
      </c>
      <c r="K850" s="3">
        <v>62916</v>
      </c>
    </row>
    <row r="851" spans="1:11">
      <c r="A851" s="3" t="s">
        <v>1778</v>
      </c>
      <c r="B851" s="3" t="s">
        <v>128</v>
      </c>
      <c r="C851" s="3" t="s">
        <v>135</v>
      </c>
      <c r="D851" s="3" t="s">
        <v>33</v>
      </c>
      <c r="E851" s="3" t="s">
        <v>34</v>
      </c>
      <c r="F851" s="3">
        <v>32</v>
      </c>
      <c r="G851" s="3" t="s">
        <v>16</v>
      </c>
      <c r="H851" s="3" t="s">
        <v>1779</v>
      </c>
      <c r="I851" s="3"/>
      <c r="J851" s="3" t="s">
        <v>17</v>
      </c>
      <c r="K851" s="3">
        <v>36595</v>
      </c>
    </row>
    <row r="852" spans="1:11">
      <c r="A852" s="3" t="s">
        <v>1780</v>
      </c>
      <c r="B852" s="3" t="s">
        <v>90</v>
      </c>
      <c r="C852" s="3" t="s">
        <v>38</v>
      </c>
      <c r="D852" s="3" t="s">
        <v>43</v>
      </c>
      <c r="E852" s="3" t="s">
        <v>48</v>
      </c>
      <c r="F852" s="3">
        <v>25</v>
      </c>
      <c r="G852" s="3" t="s">
        <v>16</v>
      </c>
      <c r="H852" s="3" t="s">
        <v>1781</v>
      </c>
      <c r="I852" s="3"/>
      <c r="J852" s="3" t="s">
        <v>17</v>
      </c>
      <c r="K852" s="3">
        <v>62507</v>
      </c>
    </row>
    <row r="853" spans="1:11">
      <c r="A853" s="3" t="s">
        <v>1782</v>
      </c>
      <c r="B853" s="3" t="s">
        <v>109</v>
      </c>
      <c r="C853" s="3" t="s">
        <v>113</v>
      </c>
      <c r="D853" s="3" t="s">
        <v>43</v>
      </c>
      <c r="E853" s="3" t="s">
        <v>70</v>
      </c>
      <c r="F853" s="3">
        <v>24</v>
      </c>
      <c r="G853" s="3" t="s">
        <v>16</v>
      </c>
      <c r="H853" s="3" t="s">
        <v>1420</v>
      </c>
      <c r="I853" s="3"/>
      <c r="J853" s="3" t="s">
        <v>17</v>
      </c>
      <c r="K853" s="3">
        <v>65847</v>
      </c>
    </row>
    <row r="854" spans="1:11">
      <c r="A854" s="3" t="s">
        <v>1783</v>
      </c>
      <c r="B854" s="3" t="s">
        <v>152</v>
      </c>
      <c r="C854" s="3" t="s">
        <v>63</v>
      </c>
      <c r="D854" s="3" t="s">
        <v>21</v>
      </c>
      <c r="E854" s="3" t="s">
        <v>95</v>
      </c>
      <c r="F854" s="3">
        <v>26</v>
      </c>
      <c r="G854" s="3" t="s">
        <v>23</v>
      </c>
      <c r="H854" s="3" t="s">
        <v>1784</v>
      </c>
      <c r="I854" s="3"/>
      <c r="J854" s="3" t="s">
        <v>17</v>
      </c>
      <c r="K854" s="3">
        <v>44828</v>
      </c>
    </row>
    <row r="855" spans="1:11">
      <c r="A855" s="3" t="s">
        <v>1785</v>
      </c>
      <c r="B855" s="3" t="s">
        <v>216</v>
      </c>
      <c r="C855" s="3" t="s">
        <v>53</v>
      </c>
      <c r="D855" s="3" t="s">
        <v>187</v>
      </c>
      <c r="E855" s="3" t="s">
        <v>155</v>
      </c>
      <c r="F855" s="3">
        <v>36</v>
      </c>
      <c r="G855" s="3" t="s">
        <v>23</v>
      </c>
      <c r="H855" s="3" t="s">
        <v>462</v>
      </c>
      <c r="I855" s="3"/>
      <c r="J855" s="3" t="s">
        <v>17</v>
      </c>
      <c r="K855" s="3">
        <v>92251</v>
      </c>
    </row>
    <row r="856" spans="1:11">
      <c r="A856" s="3" t="s">
        <v>1786</v>
      </c>
      <c r="B856" s="3" t="s">
        <v>68</v>
      </c>
      <c r="C856" s="3" t="s">
        <v>53</v>
      </c>
      <c r="D856" s="3" t="s">
        <v>43</v>
      </c>
      <c r="E856" s="3" t="s">
        <v>70</v>
      </c>
      <c r="F856" s="3">
        <v>34</v>
      </c>
      <c r="G856" s="3" t="s">
        <v>16</v>
      </c>
      <c r="H856" s="3" t="s">
        <v>1787</v>
      </c>
      <c r="I856" s="3"/>
      <c r="J856" s="3" t="s">
        <v>17</v>
      </c>
      <c r="K856" s="3">
        <v>20839</v>
      </c>
    </row>
    <row r="857" spans="1:11">
      <c r="A857" s="3" t="s">
        <v>1788</v>
      </c>
      <c r="B857" s="3" t="s">
        <v>82</v>
      </c>
      <c r="C857" s="3" t="s">
        <v>169</v>
      </c>
      <c r="D857" s="3" t="s">
        <v>43</v>
      </c>
      <c r="E857" s="3" t="s">
        <v>44</v>
      </c>
      <c r="F857" s="3">
        <v>30</v>
      </c>
      <c r="G857" s="3" t="s">
        <v>16</v>
      </c>
      <c r="H857" s="3" t="s">
        <v>853</v>
      </c>
      <c r="I857" s="3"/>
      <c r="J857" s="3" t="s">
        <v>17</v>
      </c>
      <c r="K857" s="3">
        <v>40774</v>
      </c>
    </row>
    <row r="858" spans="1:11">
      <c r="A858" s="3" t="s">
        <v>1789</v>
      </c>
      <c r="B858" s="3" t="s">
        <v>93</v>
      </c>
      <c r="C858" s="3" t="s">
        <v>205</v>
      </c>
      <c r="D858" s="3" t="s">
        <v>21</v>
      </c>
      <c r="E858" s="3" t="s">
        <v>87</v>
      </c>
      <c r="F858" s="3">
        <v>35</v>
      </c>
      <c r="G858" s="3" t="s">
        <v>16</v>
      </c>
      <c r="H858" s="3" t="s">
        <v>1790</v>
      </c>
      <c r="I858" s="3"/>
      <c r="J858" s="3" t="s">
        <v>17</v>
      </c>
      <c r="K858" s="3">
        <v>64791</v>
      </c>
    </row>
    <row r="859" spans="1:11">
      <c r="A859" s="3" t="s">
        <v>1791</v>
      </c>
      <c r="B859" s="3" t="s">
        <v>223</v>
      </c>
      <c r="C859" s="3" t="s">
        <v>42</v>
      </c>
      <c r="D859" s="3" t="s">
        <v>1389</v>
      </c>
      <c r="E859" s="3" t="s">
        <v>15</v>
      </c>
      <c r="F859" s="3">
        <v>27</v>
      </c>
      <c r="G859" s="3" t="s">
        <v>16</v>
      </c>
      <c r="H859" s="3" t="s">
        <v>1792</v>
      </c>
      <c r="I859" s="3"/>
      <c r="J859" s="3" t="s">
        <v>17</v>
      </c>
      <c r="K859" s="3">
        <v>68437</v>
      </c>
    </row>
    <row r="860" spans="1:11">
      <c r="A860" s="3" t="s">
        <v>1793</v>
      </c>
      <c r="B860" s="3" t="s">
        <v>223</v>
      </c>
      <c r="C860" s="3" t="s">
        <v>63</v>
      </c>
      <c r="D860" s="3" t="s">
        <v>43</v>
      </c>
      <c r="E860" s="3" t="s">
        <v>70</v>
      </c>
      <c r="F860" s="3">
        <v>42</v>
      </c>
      <c r="G860" s="3" t="s">
        <v>23</v>
      </c>
      <c r="H860" s="3" t="s">
        <v>1794</v>
      </c>
      <c r="I860" s="3"/>
      <c r="J860" s="3" t="s">
        <v>17</v>
      </c>
      <c r="K860" s="3">
        <v>57685</v>
      </c>
    </row>
    <row r="861" spans="1:11">
      <c r="A861" s="3" t="s">
        <v>1795</v>
      </c>
      <c r="B861" s="3" t="s">
        <v>128</v>
      </c>
      <c r="C861" s="3" t="s">
        <v>20</v>
      </c>
      <c r="D861" s="3" t="s">
        <v>43</v>
      </c>
      <c r="E861" s="3" t="s">
        <v>44</v>
      </c>
      <c r="F861" s="3">
        <v>23</v>
      </c>
      <c r="G861" s="3" t="s">
        <v>16</v>
      </c>
      <c r="H861" s="3" t="s">
        <v>1796</v>
      </c>
      <c r="I861" s="3"/>
      <c r="J861" s="3" t="s">
        <v>17</v>
      </c>
      <c r="K861" s="3">
        <v>24205</v>
      </c>
    </row>
    <row r="862" spans="1:11">
      <c r="A862" s="3" t="s">
        <v>1797</v>
      </c>
      <c r="B862" s="3" t="s">
        <v>160</v>
      </c>
      <c r="C862" s="3" t="s">
        <v>113</v>
      </c>
      <c r="D862" s="3" t="s">
        <v>187</v>
      </c>
      <c r="E862" s="3" t="s">
        <v>22</v>
      </c>
      <c r="F862" s="3">
        <v>43</v>
      </c>
      <c r="G862" s="3" t="s">
        <v>23</v>
      </c>
      <c r="H862" s="4">
        <v>44862</v>
      </c>
      <c r="I862" s="3" t="s">
        <v>1798</v>
      </c>
      <c r="J862" s="3" t="s">
        <v>51</v>
      </c>
      <c r="K862" s="3">
        <v>21262</v>
      </c>
    </row>
    <row r="863" spans="1:11">
      <c r="A863" s="3" t="s">
        <v>1799</v>
      </c>
      <c r="B863" s="3" t="s">
        <v>134</v>
      </c>
      <c r="C863" s="3" t="s">
        <v>42</v>
      </c>
      <c r="D863" s="3" t="s">
        <v>21</v>
      </c>
      <c r="E863" s="3" t="s">
        <v>22</v>
      </c>
      <c r="F863" s="3">
        <v>38</v>
      </c>
      <c r="G863" s="3" t="s">
        <v>16</v>
      </c>
      <c r="H863" s="3" t="s">
        <v>633</v>
      </c>
      <c r="I863" s="3"/>
      <c r="J863" s="3" t="s">
        <v>17</v>
      </c>
      <c r="K863" s="3">
        <v>65555</v>
      </c>
    </row>
    <row r="864" spans="1:11">
      <c r="A864" s="3" t="s">
        <v>1800</v>
      </c>
      <c r="B864" s="3" t="s">
        <v>12</v>
      </c>
      <c r="C864" s="3" t="s">
        <v>32</v>
      </c>
      <c r="D864" s="3" t="s">
        <v>27</v>
      </c>
      <c r="E864" s="3" t="s">
        <v>28</v>
      </c>
      <c r="F864" s="3">
        <v>41</v>
      </c>
      <c r="G864" s="3" t="s">
        <v>23</v>
      </c>
      <c r="H864" s="4">
        <v>44966</v>
      </c>
      <c r="I864" s="3"/>
      <c r="J864" s="3" t="s">
        <v>17</v>
      </c>
      <c r="K864" s="3">
        <v>64225</v>
      </c>
    </row>
    <row r="865" spans="1:11">
      <c r="A865" s="3" t="s">
        <v>1801</v>
      </c>
      <c r="B865" s="3" t="s">
        <v>98</v>
      </c>
      <c r="C865" s="3" t="s">
        <v>164</v>
      </c>
      <c r="D865" s="3" t="s">
        <v>27</v>
      </c>
      <c r="E865" s="3" t="s">
        <v>54</v>
      </c>
      <c r="F865" s="3">
        <v>39</v>
      </c>
      <c r="G865" s="3" t="s">
        <v>16</v>
      </c>
      <c r="H865" s="3" t="s">
        <v>1802</v>
      </c>
      <c r="I865" s="3"/>
      <c r="J865" s="3" t="s">
        <v>17</v>
      </c>
      <c r="K865" s="3">
        <v>46731</v>
      </c>
    </row>
    <row r="866" spans="1:11">
      <c r="A866" s="3" t="s">
        <v>1803</v>
      </c>
      <c r="B866" s="3" t="s">
        <v>82</v>
      </c>
      <c r="C866" s="3" t="s">
        <v>20</v>
      </c>
      <c r="D866" s="3" t="s">
        <v>21</v>
      </c>
      <c r="E866" s="3" t="s">
        <v>87</v>
      </c>
      <c r="F866" s="3">
        <v>37</v>
      </c>
      <c r="G866" s="3" t="s">
        <v>23</v>
      </c>
      <c r="H866" s="3" t="s">
        <v>786</v>
      </c>
      <c r="I866" s="3"/>
      <c r="J866" s="3" t="s">
        <v>17</v>
      </c>
      <c r="K866" s="3">
        <v>95843</v>
      </c>
    </row>
    <row r="867" spans="1:11">
      <c r="A867" s="3" t="s">
        <v>1804</v>
      </c>
      <c r="B867" s="3" t="s">
        <v>152</v>
      </c>
      <c r="C867" s="3" t="s">
        <v>63</v>
      </c>
      <c r="D867" s="3" t="s">
        <v>64</v>
      </c>
      <c r="E867" s="3" t="s">
        <v>266</v>
      </c>
      <c r="F867" s="3">
        <v>30</v>
      </c>
      <c r="G867" s="3" t="s">
        <v>16</v>
      </c>
      <c r="H867" s="3" t="s">
        <v>1805</v>
      </c>
      <c r="I867" s="3"/>
      <c r="J867" s="3" t="s">
        <v>17</v>
      </c>
      <c r="K867" s="3">
        <v>23041</v>
      </c>
    </row>
    <row r="868" spans="1:11">
      <c r="A868" s="3" t="s">
        <v>1806</v>
      </c>
      <c r="B868" s="3" t="s">
        <v>19</v>
      </c>
      <c r="C868" s="3" t="s">
        <v>74</v>
      </c>
      <c r="D868" s="3" t="s">
        <v>21</v>
      </c>
      <c r="E868" s="3" t="s">
        <v>95</v>
      </c>
      <c r="F868" s="3">
        <v>35</v>
      </c>
      <c r="G868" s="3" t="s">
        <v>16</v>
      </c>
      <c r="H868" s="3" t="s">
        <v>1807</v>
      </c>
      <c r="I868" s="3"/>
      <c r="J868" s="3" t="s">
        <v>17</v>
      </c>
      <c r="K868" s="3">
        <v>60295</v>
      </c>
    </row>
    <row r="869" spans="1:11">
      <c r="A869" s="3" t="s">
        <v>1808</v>
      </c>
      <c r="B869" s="3" t="s">
        <v>145</v>
      </c>
      <c r="C869" s="3" t="s">
        <v>13</v>
      </c>
      <c r="D869" s="3" t="s">
        <v>21</v>
      </c>
      <c r="E869" s="3" t="s">
        <v>95</v>
      </c>
      <c r="F869" s="3">
        <v>24</v>
      </c>
      <c r="G869" s="3" t="s">
        <v>16</v>
      </c>
      <c r="H869" s="3" t="s">
        <v>391</v>
      </c>
      <c r="I869" s="3"/>
      <c r="J869" s="3" t="s">
        <v>17</v>
      </c>
      <c r="K869" s="3">
        <v>46570</v>
      </c>
    </row>
    <row r="870" spans="1:11">
      <c r="A870" s="3" t="s">
        <v>1809</v>
      </c>
      <c r="B870" s="3" t="s">
        <v>86</v>
      </c>
      <c r="C870" s="3" t="s">
        <v>13</v>
      </c>
      <c r="D870" s="3" t="s">
        <v>64</v>
      </c>
      <c r="E870" s="3" t="s">
        <v>161</v>
      </c>
      <c r="F870" s="3">
        <v>21</v>
      </c>
      <c r="G870" s="3" t="s">
        <v>16</v>
      </c>
      <c r="H870" s="3" t="s">
        <v>1810</v>
      </c>
      <c r="I870" s="3" t="s">
        <v>502</v>
      </c>
      <c r="J870" s="3" t="s">
        <v>51</v>
      </c>
      <c r="K870" s="3">
        <v>18000</v>
      </c>
    </row>
    <row r="871" spans="1:11">
      <c r="A871" s="3" t="s">
        <v>1811</v>
      </c>
      <c r="B871" s="3" t="s">
        <v>47</v>
      </c>
      <c r="C871" s="3" t="s">
        <v>59</v>
      </c>
      <c r="D871" s="3" t="s">
        <v>809</v>
      </c>
      <c r="E871" s="3" t="s">
        <v>48</v>
      </c>
      <c r="F871" s="3">
        <v>33</v>
      </c>
      <c r="G871" s="3" t="s">
        <v>23</v>
      </c>
      <c r="H871" s="3" t="s">
        <v>1812</v>
      </c>
      <c r="I871" s="3"/>
      <c r="J871" s="3" t="s">
        <v>17</v>
      </c>
      <c r="K871" s="3">
        <v>34245</v>
      </c>
    </row>
    <row r="872" spans="1:11">
      <c r="A872" s="3" t="s">
        <v>1813</v>
      </c>
      <c r="B872" s="3" t="s">
        <v>125</v>
      </c>
      <c r="C872" s="3" t="s">
        <v>169</v>
      </c>
      <c r="D872" s="3" t="s">
        <v>14</v>
      </c>
      <c r="E872" s="3" t="s">
        <v>15</v>
      </c>
      <c r="F872" s="3">
        <v>51</v>
      </c>
      <c r="G872" s="3" t="s">
        <v>16</v>
      </c>
      <c r="H872" s="3" t="s">
        <v>1814</v>
      </c>
      <c r="I872" s="3"/>
      <c r="J872" s="3" t="s">
        <v>17</v>
      </c>
      <c r="K872" s="3">
        <v>70858</v>
      </c>
    </row>
    <row r="873" spans="1:11">
      <c r="A873" s="3" t="s">
        <v>1815</v>
      </c>
      <c r="B873" s="3" t="s">
        <v>186</v>
      </c>
      <c r="C873" s="3" t="s">
        <v>38</v>
      </c>
      <c r="D873" s="3" t="s">
        <v>21</v>
      </c>
      <c r="E873" s="3" t="s">
        <v>95</v>
      </c>
      <c r="F873" s="3">
        <v>27</v>
      </c>
      <c r="G873" s="3" t="s">
        <v>16</v>
      </c>
      <c r="H873" s="3" t="s">
        <v>1816</v>
      </c>
      <c r="I873" s="3" t="s">
        <v>1817</v>
      </c>
      <c r="J873" s="3" t="s">
        <v>51</v>
      </c>
      <c r="K873" s="3">
        <v>18000</v>
      </c>
    </row>
    <row r="874" spans="1:11">
      <c r="A874" s="3" t="s">
        <v>1818</v>
      </c>
      <c r="B874" s="3" t="s">
        <v>186</v>
      </c>
      <c r="C874" s="3" t="s">
        <v>249</v>
      </c>
      <c r="D874" s="3" t="s">
        <v>14</v>
      </c>
      <c r="E874" s="3" t="s">
        <v>15</v>
      </c>
      <c r="F874" s="3">
        <v>45</v>
      </c>
      <c r="G874" s="3" t="s">
        <v>16</v>
      </c>
      <c r="H874" s="3" t="s">
        <v>1819</v>
      </c>
      <c r="I874" s="3"/>
      <c r="J874" s="3" t="s">
        <v>17</v>
      </c>
      <c r="K874" s="3">
        <v>68737</v>
      </c>
    </row>
    <row r="875" spans="1:11">
      <c r="A875" s="3" t="s">
        <v>1820</v>
      </c>
      <c r="B875" s="3" t="s">
        <v>152</v>
      </c>
      <c r="C875" s="3" t="s">
        <v>113</v>
      </c>
      <c r="D875" s="3" t="s">
        <v>27</v>
      </c>
      <c r="E875" s="3" t="s">
        <v>28</v>
      </c>
      <c r="F875" s="3">
        <v>47</v>
      </c>
      <c r="G875" s="3" t="s">
        <v>16</v>
      </c>
      <c r="H875" s="3" t="s">
        <v>1821</v>
      </c>
      <c r="I875" s="3"/>
      <c r="J875" s="3" t="s">
        <v>17</v>
      </c>
      <c r="K875" s="3">
        <v>64840</v>
      </c>
    </row>
    <row r="876" spans="1:11">
      <c r="A876" s="3" t="s">
        <v>1822</v>
      </c>
      <c r="B876" s="3" t="s">
        <v>37</v>
      </c>
      <c r="C876" s="3" t="s">
        <v>174</v>
      </c>
      <c r="D876" s="3" t="s">
        <v>21</v>
      </c>
      <c r="E876" s="3" t="s">
        <v>95</v>
      </c>
      <c r="F876" s="3">
        <v>35</v>
      </c>
      <c r="G876" s="3" t="s">
        <v>16</v>
      </c>
      <c r="H876" s="4">
        <v>45306</v>
      </c>
      <c r="I876" s="3"/>
      <c r="J876" s="3" t="s">
        <v>17</v>
      </c>
      <c r="K876" s="3">
        <v>50430</v>
      </c>
    </row>
    <row r="877" spans="1:11">
      <c r="A877" s="3" t="s">
        <v>1823</v>
      </c>
      <c r="B877" s="3" t="s">
        <v>62</v>
      </c>
      <c r="C877" s="3" t="s">
        <v>129</v>
      </c>
      <c r="D877" s="3" t="s">
        <v>64</v>
      </c>
      <c r="E877" s="3" t="s">
        <v>266</v>
      </c>
      <c r="F877">
        <v>32</v>
      </c>
      <c r="G877" s="3" t="s">
        <v>16</v>
      </c>
      <c r="H877" s="3" t="s">
        <v>1663</v>
      </c>
      <c r="I877" s="3"/>
      <c r="J877" s="3" t="s">
        <v>17</v>
      </c>
      <c r="K877" s="3">
        <v>71863</v>
      </c>
    </row>
    <row r="878" spans="1:11">
      <c r="A878" s="3" t="s">
        <v>1824</v>
      </c>
      <c r="B878" s="3" t="s">
        <v>90</v>
      </c>
      <c r="C878" s="3" t="s">
        <v>42</v>
      </c>
      <c r="D878" s="3" t="s">
        <v>33</v>
      </c>
      <c r="E878" s="3" t="s">
        <v>79</v>
      </c>
      <c r="F878" s="3">
        <v>21</v>
      </c>
      <c r="G878" s="3" t="s">
        <v>23</v>
      </c>
      <c r="H878" s="3" t="s">
        <v>1318</v>
      </c>
      <c r="I878" s="3"/>
      <c r="J878" s="3" t="s">
        <v>17</v>
      </c>
      <c r="K878" s="3">
        <v>52264</v>
      </c>
    </row>
    <row r="879" spans="1:11">
      <c r="A879" s="3" t="s">
        <v>1825</v>
      </c>
      <c r="B879" s="3" t="s">
        <v>128</v>
      </c>
      <c r="C879" s="3" t="s">
        <v>20</v>
      </c>
      <c r="D879" s="3" t="s">
        <v>27</v>
      </c>
      <c r="E879" s="3" t="s">
        <v>122</v>
      </c>
      <c r="F879" s="3">
        <v>37</v>
      </c>
      <c r="G879" s="3" t="s">
        <v>23</v>
      </c>
      <c r="H879" s="3" t="s">
        <v>1826</v>
      </c>
      <c r="I879" s="3" t="s">
        <v>180</v>
      </c>
      <c r="J879" s="3" t="s">
        <v>51</v>
      </c>
      <c r="K879" s="3">
        <v>79333</v>
      </c>
    </row>
    <row r="880" spans="1:11">
      <c r="A880" s="3" t="s">
        <v>1827</v>
      </c>
      <c r="B880" s="3" t="s">
        <v>134</v>
      </c>
      <c r="C880" s="3" t="s">
        <v>83</v>
      </c>
      <c r="D880" s="3" t="s">
        <v>21</v>
      </c>
      <c r="E880" s="3" t="s">
        <v>87</v>
      </c>
      <c r="F880" s="3">
        <v>34</v>
      </c>
      <c r="G880" s="3" t="s">
        <v>16</v>
      </c>
      <c r="H880" s="3" t="s">
        <v>1828</v>
      </c>
      <c r="I880" s="3"/>
      <c r="J880" s="3" t="s">
        <v>17</v>
      </c>
      <c r="K880" s="3">
        <v>45094</v>
      </c>
    </row>
    <row r="881" spans="1:11">
      <c r="A881" s="3" t="s">
        <v>1829</v>
      </c>
      <c r="B881" s="3" t="s">
        <v>298</v>
      </c>
      <c r="C881" s="3" t="s">
        <v>69</v>
      </c>
      <c r="D881" s="3" t="s">
        <v>64</v>
      </c>
      <c r="E881" s="3" t="s">
        <v>65</v>
      </c>
      <c r="F881" s="3"/>
      <c r="G881" s="3" t="s">
        <v>16</v>
      </c>
      <c r="H881" s="3" t="s">
        <v>1830</v>
      </c>
      <c r="I881" s="3"/>
      <c r="J881" s="3" t="s">
        <v>17</v>
      </c>
      <c r="K881" s="3">
        <v>26794</v>
      </c>
    </row>
    <row r="882" spans="1:11">
      <c r="A882" s="3" t="s">
        <v>1831</v>
      </c>
      <c r="B882" s="3" t="s">
        <v>78</v>
      </c>
      <c r="C882" s="3" t="s">
        <v>103</v>
      </c>
      <c r="D882" s="3" t="s">
        <v>27</v>
      </c>
      <c r="E882" s="3" t="s">
        <v>122</v>
      </c>
      <c r="F882" s="3">
        <v>21</v>
      </c>
      <c r="G882" s="3" t="s">
        <v>16</v>
      </c>
      <c r="H882" s="3" t="s">
        <v>1832</v>
      </c>
      <c r="I882" s="3"/>
      <c r="J882" s="3" t="s">
        <v>17</v>
      </c>
      <c r="K882" s="3">
        <v>72862</v>
      </c>
    </row>
    <row r="883" spans="1:11">
      <c r="A883" s="3" t="s">
        <v>1833</v>
      </c>
      <c r="B883" s="3" t="s">
        <v>121</v>
      </c>
      <c r="C883" s="3" t="s">
        <v>213</v>
      </c>
      <c r="D883" s="3" t="s">
        <v>43</v>
      </c>
      <c r="E883" s="3" t="s">
        <v>48</v>
      </c>
      <c r="F883" s="3">
        <v>21</v>
      </c>
      <c r="G883" s="3" t="s">
        <v>23</v>
      </c>
      <c r="H883" s="3" t="s">
        <v>1777</v>
      </c>
      <c r="I883" s="3"/>
      <c r="J883" s="3" t="s">
        <v>17</v>
      </c>
      <c r="K883" s="3">
        <v>62164</v>
      </c>
    </row>
    <row r="884" spans="1:11">
      <c r="A884" s="3" t="s">
        <v>1834</v>
      </c>
      <c r="B884" s="3" t="s">
        <v>288</v>
      </c>
      <c r="C884" s="3" t="s">
        <v>249</v>
      </c>
      <c r="D884" s="3" t="s">
        <v>21</v>
      </c>
      <c r="E884" s="3" t="s">
        <v>95</v>
      </c>
      <c r="F884" s="3">
        <v>33</v>
      </c>
      <c r="G884" s="3" t="s">
        <v>23</v>
      </c>
      <c r="H884" s="3" t="s">
        <v>1273</v>
      </c>
      <c r="I884" s="3" t="s">
        <v>1835</v>
      </c>
      <c r="J884" s="3" t="s">
        <v>51</v>
      </c>
      <c r="K884" s="3">
        <v>54300</v>
      </c>
    </row>
    <row r="885" spans="1:11">
      <c r="A885" s="3" t="s">
        <v>1836</v>
      </c>
      <c r="B885" s="3" t="s">
        <v>82</v>
      </c>
      <c r="C885" s="3" t="s">
        <v>177</v>
      </c>
      <c r="D885" s="3" t="s">
        <v>64</v>
      </c>
      <c r="E885" s="3" t="s">
        <v>161</v>
      </c>
      <c r="F885" s="3">
        <v>30</v>
      </c>
      <c r="G885" s="3" t="s">
        <v>23</v>
      </c>
      <c r="H885" s="3" t="s">
        <v>1837</v>
      </c>
      <c r="I885" s="3"/>
      <c r="J885" s="3" t="s">
        <v>17</v>
      </c>
      <c r="K885" s="3">
        <v>34788</v>
      </c>
    </row>
    <row r="886" spans="1:11">
      <c r="A886" s="3" t="s">
        <v>1838</v>
      </c>
      <c r="B886" s="3" t="s">
        <v>121</v>
      </c>
      <c r="C886" s="3" t="s">
        <v>42</v>
      </c>
      <c r="D886" s="3" t="s">
        <v>27</v>
      </c>
      <c r="E886" s="3" t="s">
        <v>122</v>
      </c>
      <c r="F886" s="3">
        <v>21</v>
      </c>
      <c r="G886" s="3" t="s">
        <v>16</v>
      </c>
      <c r="H886" s="3" t="s">
        <v>1030</v>
      </c>
      <c r="I886" s="3"/>
      <c r="J886" s="3" t="s">
        <v>17</v>
      </c>
      <c r="K886" s="3">
        <v>40558</v>
      </c>
    </row>
    <row r="887" spans="1:11">
      <c r="A887" s="3" t="s">
        <v>1839</v>
      </c>
      <c r="B887" s="3" t="s">
        <v>62</v>
      </c>
      <c r="C887" s="3" t="s">
        <v>164</v>
      </c>
      <c r="D887" s="3" t="s">
        <v>33</v>
      </c>
      <c r="E887" s="3" t="s">
        <v>79</v>
      </c>
      <c r="F887" s="3">
        <v>48</v>
      </c>
      <c r="G887" s="3" t="s">
        <v>16</v>
      </c>
      <c r="H887" s="3" t="s">
        <v>1840</v>
      </c>
      <c r="I887" s="3"/>
      <c r="J887" s="3" t="s">
        <v>17</v>
      </c>
      <c r="K887" s="3">
        <v>62007</v>
      </c>
    </row>
    <row r="888" spans="1:11">
      <c r="A888" s="3" t="s">
        <v>1841</v>
      </c>
      <c r="B888" s="3" t="s">
        <v>216</v>
      </c>
      <c r="C888" s="3" t="s">
        <v>32</v>
      </c>
      <c r="D888" s="3" t="s">
        <v>21</v>
      </c>
      <c r="E888" s="3" t="s">
        <v>95</v>
      </c>
      <c r="F888" s="3">
        <v>41</v>
      </c>
      <c r="G888" s="3" t="s">
        <v>16</v>
      </c>
      <c r="H888" s="3" t="s">
        <v>735</v>
      </c>
      <c r="I888" s="3"/>
      <c r="J888" s="3" t="s">
        <v>17</v>
      </c>
      <c r="K888" s="3">
        <v>53257</v>
      </c>
    </row>
    <row r="889" spans="1:11">
      <c r="A889" s="3" t="s">
        <v>1842</v>
      </c>
      <c r="B889" s="3" t="s">
        <v>93</v>
      </c>
      <c r="C889" s="3" t="s">
        <v>174</v>
      </c>
      <c r="D889" s="3" t="s">
        <v>64</v>
      </c>
      <c r="E889" s="3" t="s">
        <v>161</v>
      </c>
      <c r="F889" s="3">
        <v>24</v>
      </c>
      <c r="G889" s="3" t="s">
        <v>16</v>
      </c>
      <c r="H889" s="3" t="s">
        <v>1843</v>
      </c>
      <c r="I889" s="3"/>
      <c r="J889" s="3" t="s">
        <v>17</v>
      </c>
      <c r="K889" s="3">
        <v>89947</v>
      </c>
    </row>
    <row r="890" spans="1:11">
      <c r="A890" s="3" t="s">
        <v>1844</v>
      </c>
      <c r="B890" s="3" t="s">
        <v>58</v>
      </c>
      <c r="C890" s="3" t="s">
        <v>13</v>
      </c>
      <c r="D890" s="3" t="s">
        <v>21</v>
      </c>
      <c r="E890" s="3" t="s">
        <v>155</v>
      </c>
      <c r="F890" s="3">
        <v>31</v>
      </c>
      <c r="G890" s="3" t="s">
        <v>23</v>
      </c>
      <c r="H890" s="3" t="s">
        <v>1845</v>
      </c>
      <c r="I890" s="3"/>
      <c r="J890" s="3" t="s">
        <v>17</v>
      </c>
      <c r="K890" s="3">
        <v>26850</v>
      </c>
    </row>
    <row r="891" spans="1:11">
      <c r="A891" s="3" t="s">
        <v>1846</v>
      </c>
      <c r="B891" s="3" t="s">
        <v>109</v>
      </c>
      <c r="C891" s="3" t="s">
        <v>94</v>
      </c>
      <c r="D891" s="3" t="s">
        <v>27</v>
      </c>
      <c r="E891" s="3" t="s">
        <v>28</v>
      </c>
      <c r="F891">
        <v>32</v>
      </c>
      <c r="G891" s="3" t="s">
        <v>23</v>
      </c>
      <c r="H891" s="3" t="s">
        <v>1787</v>
      </c>
      <c r="I891" s="3"/>
      <c r="J891" s="3" t="s">
        <v>17</v>
      </c>
      <c r="K891" s="3">
        <v>80784</v>
      </c>
    </row>
    <row r="892" spans="1:11">
      <c r="A892" s="3" t="s">
        <v>1847</v>
      </c>
      <c r="B892" s="3" t="s">
        <v>93</v>
      </c>
      <c r="C892" s="3" t="s">
        <v>129</v>
      </c>
      <c r="D892" s="3" t="s">
        <v>33</v>
      </c>
      <c r="E892" s="3" t="s">
        <v>34</v>
      </c>
      <c r="F892" s="3">
        <v>21</v>
      </c>
      <c r="G892" s="3" t="s">
        <v>23</v>
      </c>
      <c r="H892" s="3" t="s">
        <v>1672</v>
      </c>
      <c r="I892" s="3"/>
      <c r="J892" s="3" t="s">
        <v>17</v>
      </c>
      <c r="K892" s="3">
        <v>45616</v>
      </c>
    </row>
    <row r="893" spans="1:11">
      <c r="A893" s="3" t="s">
        <v>1848</v>
      </c>
      <c r="B893" s="3" t="s">
        <v>134</v>
      </c>
      <c r="C893" s="3" t="s">
        <v>103</v>
      </c>
      <c r="D893" s="3" t="s">
        <v>21</v>
      </c>
      <c r="E893" s="3" t="s">
        <v>87</v>
      </c>
      <c r="F893" s="3">
        <v>24</v>
      </c>
      <c r="G893" s="3" t="s">
        <v>23</v>
      </c>
      <c r="H893" s="3" t="s">
        <v>1849</v>
      </c>
      <c r="I893" s="3"/>
      <c r="J893" s="3" t="s">
        <v>17</v>
      </c>
      <c r="K893" s="3">
        <v>31404</v>
      </c>
    </row>
    <row r="894" spans="1:11">
      <c r="A894" s="3" t="s">
        <v>1850</v>
      </c>
      <c r="B894" s="3" t="s">
        <v>102</v>
      </c>
      <c r="C894" s="3" t="s">
        <v>177</v>
      </c>
      <c r="D894" s="3" t="s">
        <v>21</v>
      </c>
      <c r="E894" s="3" t="s">
        <v>22</v>
      </c>
      <c r="F894" s="3">
        <v>21</v>
      </c>
      <c r="G894" s="3" t="s">
        <v>23</v>
      </c>
      <c r="H894" s="3" t="s">
        <v>1851</v>
      </c>
      <c r="I894" s="3"/>
      <c r="J894" s="3" t="s">
        <v>17</v>
      </c>
      <c r="K894" s="3">
        <v>34500</v>
      </c>
    </row>
    <row r="895" spans="1:11">
      <c r="A895" s="3" t="s">
        <v>1852</v>
      </c>
      <c r="B895" s="3" t="s">
        <v>112</v>
      </c>
      <c r="C895" s="3" t="s">
        <v>103</v>
      </c>
      <c r="D895" s="3" t="s">
        <v>43</v>
      </c>
      <c r="E895" s="3" t="s">
        <v>70</v>
      </c>
      <c r="F895" s="3"/>
      <c r="G895" s="3" t="s">
        <v>23</v>
      </c>
      <c r="H895" s="3" t="s">
        <v>1853</v>
      </c>
      <c r="I895" s="3"/>
      <c r="J895" s="3" t="s">
        <v>17</v>
      </c>
      <c r="K895" s="3">
        <v>40478</v>
      </c>
    </row>
    <row r="896" spans="1:11">
      <c r="A896" s="3" t="s">
        <v>1854</v>
      </c>
      <c r="B896" s="3" t="s">
        <v>223</v>
      </c>
      <c r="C896" s="3" t="s">
        <v>38</v>
      </c>
      <c r="D896" s="3" t="s">
        <v>21</v>
      </c>
      <c r="E896" s="3" t="s">
        <v>95</v>
      </c>
      <c r="F896" s="3">
        <v>41</v>
      </c>
      <c r="G896" s="3" t="s">
        <v>16</v>
      </c>
      <c r="H896" s="3" t="s">
        <v>1855</v>
      </c>
      <c r="I896" s="3"/>
      <c r="J896" s="3" t="s">
        <v>17</v>
      </c>
      <c r="K896" s="3">
        <v>21540</v>
      </c>
    </row>
    <row r="897" spans="1:11">
      <c r="A897" s="3" t="s">
        <v>1856</v>
      </c>
      <c r="B897" s="3" t="s">
        <v>37</v>
      </c>
      <c r="C897" s="3" t="s">
        <v>74</v>
      </c>
      <c r="D897" s="3" t="s">
        <v>43</v>
      </c>
      <c r="E897" s="3" t="s">
        <v>48</v>
      </c>
      <c r="F897" s="3">
        <v>35</v>
      </c>
      <c r="G897" s="3" t="s">
        <v>16</v>
      </c>
      <c r="H897" s="3" t="s">
        <v>1857</v>
      </c>
      <c r="I897" s="3"/>
      <c r="J897" s="3" t="s">
        <v>17</v>
      </c>
      <c r="K897" s="3">
        <v>36602</v>
      </c>
    </row>
    <row r="898" spans="1:11">
      <c r="A898" s="3" t="s">
        <v>1858</v>
      </c>
      <c r="B898" s="3" t="s">
        <v>78</v>
      </c>
      <c r="C898" s="3" t="s">
        <v>169</v>
      </c>
      <c r="D898" s="3" t="s">
        <v>21</v>
      </c>
      <c r="E898" s="3" t="s">
        <v>95</v>
      </c>
      <c r="F898" s="3">
        <v>25</v>
      </c>
      <c r="G898" s="3" t="s">
        <v>23</v>
      </c>
      <c r="H898" s="3" t="s">
        <v>1859</v>
      </c>
      <c r="I898" s="3"/>
      <c r="J898" s="3" t="s">
        <v>17</v>
      </c>
      <c r="K898" s="3">
        <v>46646</v>
      </c>
    </row>
    <row r="899" spans="1:11">
      <c r="A899" s="3" t="s">
        <v>1860</v>
      </c>
      <c r="B899" s="3" t="s">
        <v>401</v>
      </c>
      <c r="C899" s="3" t="s">
        <v>53</v>
      </c>
      <c r="D899" s="3" t="s">
        <v>648</v>
      </c>
      <c r="E899" s="3" t="s">
        <v>266</v>
      </c>
      <c r="F899" s="3">
        <v>30</v>
      </c>
      <c r="G899" s="3" t="s">
        <v>16</v>
      </c>
      <c r="H899" s="3" t="s">
        <v>119</v>
      </c>
      <c r="I899" s="3" t="s">
        <v>1861</v>
      </c>
      <c r="J899" s="3" t="s">
        <v>51</v>
      </c>
      <c r="K899" s="3">
        <v>63998</v>
      </c>
    </row>
    <row r="900" spans="1:11">
      <c r="A900" s="3" t="s">
        <v>1862</v>
      </c>
      <c r="B900" s="3" t="s">
        <v>73</v>
      </c>
      <c r="C900" s="3" t="s">
        <v>103</v>
      </c>
      <c r="D900" s="3" t="s">
        <v>21</v>
      </c>
      <c r="E900" s="3" t="s">
        <v>22</v>
      </c>
      <c r="F900" s="3">
        <v>41</v>
      </c>
      <c r="G900" s="3" t="s">
        <v>16</v>
      </c>
      <c r="H900" s="3" t="s">
        <v>1863</v>
      </c>
      <c r="I900" s="3"/>
      <c r="J900" s="3" t="s">
        <v>17</v>
      </c>
      <c r="K900" s="3">
        <v>25509</v>
      </c>
    </row>
    <row r="901" spans="1:11">
      <c r="A901" s="3" t="s">
        <v>1864</v>
      </c>
      <c r="B901" s="3" t="s">
        <v>238</v>
      </c>
      <c r="C901" s="3" t="s">
        <v>20</v>
      </c>
      <c r="D901" s="3" t="s">
        <v>33</v>
      </c>
      <c r="E901" s="3" t="s">
        <v>34</v>
      </c>
      <c r="F901">
        <v>32</v>
      </c>
      <c r="G901" s="3" t="s">
        <v>16</v>
      </c>
      <c r="H901" s="3" t="s">
        <v>1865</v>
      </c>
      <c r="I901" s="3"/>
      <c r="J901" s="3" t="s">
        <v>17</v>
      </c>
      <c r="K901" s="3">
        <v>18000</v>
      </c>
    </row>
    <row r="902" spans="1:11">
      <c r="A902" s="3" t="s">
        <v>1866</v>
      </c>
      <c r="B902" s="3" t="s">
        <v>37</v>
      </c>
      <c r="C902" s="3" t="s">
        <v>164</v>
      </c>
      <c r="D902" s="3" t="s">
        <v>21</v>
      </c>
      <c r="E902" s="3" t="s">
        <v>22</v>
      </c>
      <c r="F902" s="3">
        <v>45</v>
      </c>
      <c r="G902" s="3" t="s">
        <v>23</v>
      </c>
      <c r="H902" s="3" t="s">
        <v>984</v>
      </c>
      <c r="I902" s="3"/>
      <c r="J902" s="3" t="s">
        <v>17</v>
      </c>
      <c r="K902" s="3">
        <v>98317</v>
      </c>
    </row>
    <row r="903" spans="1:11">
      <c r="A903" s="3" t="s">
        <v>1867</v>
      </c>
      <c r="B903" s="3" t="s">
        <v>98</v>
      </c>
      <c r="C903" s="3" t="s">
        <v>59</v>
      </c>
      <c r="D903" s="3" t="s">
        <v>33</v>
      </c>
      <c r="E903" s="3" t="s">
        <v>34</v>
      </c>
      <c r="F903" s="3">
        <v>37</v>
      </c>
      <c r="G903" s="3" t="s">
        <v>16</v>
      </c>
      <c r="H903" s="3" t="s">
        <v>1868</v>
      </c>
      <c r="I903" s="3"/>
      <c r="J903" s="3" t="s">
        <v>17</v>
      </c>
      <c r="K903" s="3">
        <v>40835</v>
      </c>
    </row>
    <row r="904" spans="1:11">
      <c r="A904" s="3" t="s">
        <v>1869</v>
      </c>
      <c r="B904" s="3" t="s">
        <v>90</v>
      </c>
      <c r="C904" s="3" t="s">
        <v>83</v>
      </c>
      <c r="D904" s="3" t="s">
        <v>33</v>
      </c>
      <c r="E904" s="3" t="s">
        <v>34</v>
      </c>
      <c r="F904" s="3">
        <v>31</v>
      </c>
      <c r="G904" s="3" t="s">
        <v>16</v>
      </c>
      <c r="H904" s="3" t="s">
        <v>851</v>
      </c>
      <c r="I904" s="3"/>
      <c r="J904" s="3" t="s">
        <v>17</v>
      </c>
      <c r="K904" s="3">
        <v>22182</v>
      </c>
    </row>
    <row r="905" spans="1:11">
      <c r="A905" s="3" t="s">
        <v>1870</v>
      </c>
      <c r="B905" s="3" t="s">
        <v>109</v>
      </c>
      <c r="C905" s="3" t="s">
        <v>103</v>
      </c>
      <c r="D905" s="3" t="s">
        <v>43</v>
      </c>
      <c r="E905" s="3" t="s">
        <v>48</v>
      </c>
      <c r="F905" s="3"/>
      <c r="G905" s="3" t="s">
        <v>16</v>
      </c>
      <c r="H905" s="3" t="s">
        <v>1871</v>
      </c>
      <c r="I905" s="3" t="s">
        <v>1872</v>
      </c>
      <c r="J905" s="3" t="s">
        <v>51</v>
      </c>
      <c r="K905" s="3">
        <v>57609</v>
      </c>
    </row>
    <row r="906" spans="1:11">
      <c r="A906" s="3" t="s">
        <v>1873</v>
      </c>
      <c r="B906" s="3" t="s">
        <v>62</v>
      </c>
      <c r="C906" s="3" t="s">
        <v>135</v>
      </c>
      <c r="D906" s="3" t="s">
        <v>43</v>
      </c>
      <c r="E906" s="3" t="s">
        <v>44</v>
      </c>
      <c r="F906">
        <v>32</v>
      </c>
      <c r="G906" s="3" t="s">
        <v>23</v>
      </c>
      <c r="H906" s="3" t="s">
        <v>1874</v>
      </c>
      <c r="I906" s="3"/>
      <c r="J906" s="3" t="s">
        <v>17</v>
      </c>
      <c r="K906" s="3">
        <v>40096</v>
      </c>
    </row>
    <row r="907" spans="1:11">
      <c r="A907" s="3" t="s">
        <v>1875</v>
      </c>
      <c r="B907" s="3" t="s">
        <v>160</v>
      </c>
      <c r="C907" s="3" t="s">
        <v>205</v>
      </c>
      <c r="D907" s="3" t="s">
        <v>21</v>
      </c>
      <c r="E907" s="3" t="s">
        <v>87</v>
      </c>
      <c r="F907" s="3">
        <v>31</v>
      </c>
      <c r="G907" s="3" t="s">
        <v>16</v>
      </c>
      <c r="H907" s="3" t="s">
        <v>409</v>
      </c>
      <c r="I907" s="3"/>
      <c r="J907" s="3" t="s">
        <v>17</v>
      </c>
      <c r="K907" s="3">
        <v>71634</v>
      </c>
    </row>
    <row r="908" spans="1:11">
      <c r="A908" s="3" t="s">
        <v>1876</v>
      </c>
      <c r="B908" s="3" t="s">
        <v>98</v>
      </c>
      <c r="C908" s="3" t="s">
        <v>26</v>
      </c>
      <c r="D908" s="3" t="s">
        <v>21</v>
      </c>
      <c r="E908" s="3" t="s">
        <v>155</v>
      </c>
      <c r="F908" s="3">
        <v>54</v>
      </c>
      <c r="G908" s="3" t="s">
        <v>16</v>
      </c>
      <c r="H908" s="3" t="s">
        <v>1877</v>
      </c>
      <c r="I908" s="3"/>
      <c r="J908" s="3" t="s">
        <v>17</v>
      </c>
      <c r="K908" s="3">
        <v>77506</v>
      </c>
    </row>
    <row r="909" spans="1:11">
      <c r="A909" s="3" t="s">
        <v>1878</v>
      </c>
      <c r="B909" s="3" t="s">
        <v>86</v>
      </c>
      <c r="C909" s="3" t="s">
        <v>164</v>
      </c>
      <c r="D909" s="3" t="s">
        <v>21</v>
      </c>
      <c r="E909" s="3" t="s">
        <v>22</v>
      </c>
      <c r="F909" s="3">
        <v>27</v>
      </c>
      <c r="G909" s="3" t="s">
        <v>16</v>
      </c>
      <c r="H909" s="3" t="s">
        <v>1879</v>
      </c>
      <c r="I909" s="3"/>
      <c r="J909" s="3" t="s">
        <v>17</v>
      </c>
      <c r="K909" s="3">
        <v>75524</v>
      </c>
    </row>
    <row r="910" spans="1:11">
      <c r="A910" s="3" t="s">
        <v>1880</v>
      </c>
      <c r="B910" s="3" t="s">
        <v>160</v>
      </c>
      <c r="C910" s="3" t="s">
        <v>174</v>
      </c>
      <c r="D910" s="3" t="s">
        <v>21</v>
      </c>
      <c r="E910" s="3" t="s">
        <v>95</v>
      </c>
      <c r="F910" s="3"/>
      <c r="G910" s="3" t="s">
        <v>23</v>
      </c>
      <c r="H910" s="3" t="s">
        <v>1881</v>
      </c>
      <c r="I910" s="3"/>
      <c r="J910" s="3" t="s">
        <v>17</v>
      </c>
      <c r="K910" s="3">
        <v>38383</v>
      </c>
    </row>
    <row r="911" spans="1:11">
      <c r="A911" s="3" t="s">
        <v>1882</v>
      </c>
      <c r="B911" s="3" t="s">
        <v>160</v>
      </c>
      <c r="C911" s="3" t="s">
        <v>42</v>
      </c>
      <c r="D911" s="3" t="s">
        <v>21</v>
      </c>
      <c r="E911" s="3" t="s">
        <v>155</v>
      </c>
      <c r="F911" s="3">
        <v>31</v>
      </c>
      <c r="G911" s="3" t="s">
        <v>23</v>
      </c>
      <c r="H911" s="3" t="s">
        <v>1883</v>
      </c>
      <c r="I911" s="3"/>
      <c r="J911" s="3" t="s">
        <v>17</v>
      </c>
      <c r="K911" s="3">
        <v>53074</v>
      </c>
    </row>
    <row r="912" spans="1:11">
      <c r="A912" s="3" t="s">
        <v>1884</v>
      </c>
      <c r="B912" s="3" t="s">
        <v>25</v>
      </c>
      <c r="C912" s="3" t="s">
        <v>13</v>
      </c>
      <c r="D912" s="3" t="s">
        <v>43</v>
      </c>
      <c r="E912" s="3" t="s">
        <v>44</v>
      </c>
      <c r="F912" s="3">
        <v>30</v>
      </c>
      <c r="G912" s="3" t="s">
        <v>23</v>
      </c>
      <c r="H912" s="3" t="s">
        <v>1885</v>
      </c>
      <c r="I912" s="3"/>
      <c r="J912" s="3" t="s">
        <v>17</v>
      </c>
      <c r="K912" s="3">
        <v>44469</v>
      </c>
    </row>
    <row r="913" spans="1:11">
      <c r="A913" s="3" t="s">
        <v>1886</v>
      </c>
      <c r="B913" s="3" t="s">
        <v>121</v>
      </c>
      <c r="C913" s="3" t="s">
        <v>94</v>
      </c>
      <c r="D913" s="3" t="s">
        <v>64</v>
      </c>
      <c r="E913" s="3" t="s">
        <v>65</v>
      </c>
      <c r="F913" s="3">
        <v>37</v>
      </c>
      <c r="G913" s="3" t="s">
        <v>16</v>
      </c>
      <c r="H913" s="3" t="s">
        <v>1887</v>
      </c>
      <c r="I913" s="3"/>
      <c r="J913" s="3" t="s">
        <v>17</v>
      </c>
      <c r="K913" s="3">
        <v>75074</v>
      </c>
    </row>
    <row r="914" spans="1:11">
      <c r="A914" s="3" t="s">
        <v>1888</v>
      </c>
      <c r="B914" s="3" t="s">
        <v>226</v>
      </c>
      <c r="C914" s="3" t="s">
        <v>94</v>
      </c>
      <c r="D914" s="3" t="s">
        <v>64</v>
      </c>
      <c r="E914" s="3" t="s">
        <v>161</v>
      </c>
      <c r="F914" s="3">
        <v>34</v>
      </c>
      <c r="G914" s="3" t="s">
        <v>16</v>
      </c>
      <c r="H914" s="3" t="s">
        <v>1889</v>
      </c>
      <c r="I914" s="3"/>
      <c r="J914" s="3" t="s">
        <v>17</v>
      </c>
      <c r="K914" s="3">
        <v>46726</v>
      </c>
    </row>
    <row r="915" spans="1:11">
      <c r="A915" s="3" t="s">
        <v>1890</v>
      </c>
      <c r="B915" s="3" t="s">
        <v>226</v>
      </c>
      <c r="C915" s="3" t="s">
        <v>13</v>
      </c>
      <c r="D915" s="3" t="s">
        <v>33</v>
      </c>
      <c r="E915" s="3" t="s">
        <v>34</v>
      </c>
      <c r="F915" s="3">
        <v>33</v>
      </c>
      <c r="G915" s="3" t="s">
        <v>16</v>
      </c>
      <c r="H915" s="3" t="s">
        <v>1891</v>
      </c>
      <c r="I915" s="3" t="s">
        <v>1892</v>
      </c>
      <c r="J915" s="3" t="s">
        <v>51</v>
      </c>
      <c r="K915" s="3">
        <v>79166</v>
      </c>
    </row>
    <row r="916" spans="1:11">
      <c r="A916" s="3" t="s">
        <v>1893</v>
      </c>
      <c r="B916" s="3" t="s">
        <v>186</v>
      </c>
      <c r="C916" s="3" t="s">
        <v>20</v>
      </c>
      <c r="D916" s="3" t="s">
        <v>27</v>
      </c>
      <c r="E916" s="3" t="s">
        <v>54</v>
      </c>
      <c r="F916" s="3">
        <v>29</v>
      </c>
      <c r="G916" s="3" t="s">
        <v>16</v>
      </c>
      <c r="H916" s="3" t="s">
        <v>1894</v>
      </c>
      <c r="I916" s="3"/>
      <c r="J916" s="3" t="s">
        <v>17</v>
      </c>
      <c r="K916" s="3">
        <v>57910</v>
      </c>
    </row>
    <row r="917" spans="1:11">
      <c r="A917" s="3" t="s">
        <v>1895</v>
      </c>
      <c r="B917" s="3" t="s">
        <v>90</v>
      </c>
      <c r="C917" s="3" t="s">
        <v>169</v>
      </c>
      <c r="D917" s="3" t="s">
        <v>43</v>
      </c>
      <c r="E917" s="3" t="s">
        <v>70</v>
      </c>
      <c r="F917" s="3">
        <v>32</v>
      </c>
      <c r="G917" s="3" t="s">
        <v>16</v>
      </c>
      <c r="H917" s="3" t="s">
        <v>1896</v>
      </c>
      <c r="I917" s="3"/>
      <c r="J917" s="3" t="s">
        <v>17</v>
      </c>
      <c r="K917" s="3">
        <v>60122</v>
      </c>
    </row>
    <row r="918" spans="1:11">
      <c r="A918" s="3" t="s">
        <v>1897</v>
      </c>
      <c r="B918" s="3" t="s">
        <v>82</v>
      </c>
      <c r="C918" s="3" t="s">
        <v>103</v>
      </c>
      <c r="D918" s="3" t="s">
        <v>27</v>
      </c>
      <c r="E918" s="3" t="s">
        <v>28</v>
      </c>
      <c r="F918" s="3">
        <v>27</v>
      </c>
      <c r="G918" s="3" t="s">
        <v>16</v>
      </c>
      <c r="H918" s="3" t="s">
        <v>753</v>
      </c>
      <c r="I918" s="3" t="s">
        <v>366</v>
      </c>
      <c r="J918" s="3" t="s">
        <v>51</v>
      </c>
      <c r="K918" s="3">
        <v>70762</v>
      </c>
    </row>
    <row r="919" spans="1:11">
      <c r="A919" s="3" t="s">
        <v>1898</v>
      </c>
      <c r="B919" s="3" t="s">
        <v>102</v>
      </c>
      <c r="C919" s="3" t="s">
        <v>164</v>
      </c>
      <c r="D919" s="3" t="s">
        <v>321</v>
      </c>
      <c r="E919" s="3" t="s">
        <v>155</v>
      </c>
      <c r="F919" s="3">
        <v>34</v>
      </c>
      <c r="G919" s="3" t="s">
        <v>16</v>
      </c>
      <c r="H919" s="3" t="s">
        <v>1899</v>
      </c>
      <c r="I919" s="3" t="s">
        <v>1900</v>
      </c>
      <c r="J919" s="3" t="s">
        <v>51</v>
      </c>
      <c r="K919" s="3">
        <v>46730</v>
      </c>
    </row>
    <row r="920" spans="1:11">
      <c r="A920" s="3" t="s">
        <v>1901</v>
      </c>
      <c r="B920" s="3" t="s">
        <v>134</v>
      </c>
      <c r="C920" s="3" t="s">
        <v>32</v>
      </c>
      <c r="D920" s="3" t="s">
        <v>21</v>
      </c>
      <c r="E920" s="3" t="s">
        <v>155</v>
      </c>
      <c r="F920" s="3">
        <v>38</v>
      </c>
      <c r="G920" s="3" t="s">
        <v>16</v>
      </c>
      <c r="H920" s="3" t="s">
        <v>1276</v>
      </c>
      <c r="I920" s="3"/>
      <c r="J920" s="3" t="s">
        <v>17</v>
      </c>
      <c r="K920" s="3">
        <v>27450</v>
      </c>
    </row>
    <row r="921" spans="1:11">
      <c r="A921" s="3" t="s">
        <v>1902</v>
      </c>
      <c r="B921" s="3" t="s">
        <v>238</v>
      </c>
      <c r="C921" s="3" t="s">
        <v>113</v>
      </c>
      <c r="D921" s="3" t="s">
        <v>21</v>
      </c>
      <c r="E921" s="3" t="s">
        <v>155</v>
      </c>
      <c r="F921" s="3">
        <v>37</v>
      </c>
      <c r="G921" s="3" t="s">
        <v>23</v>
      </c>
      <c r="H921" s="3" t="s">
        <v>1903</v>
      </c>
      <c r="I921" s="3"/>
      <c r="J921" s="3" t="s">
        <v>17</v>
      </c>
      <c r="K921" s="3">
        <v>84190</v>
      </c>
    </row>
    <row r="922" spans="1:11">
      <c r="A922" s="3" t="s">
        <v>1904</v>
      </c>
      <c r="B922" s="3" t="s">
        <v>25</v>
      </c>
      <c r="C922" s="3" t="s">
        <v>69</v>
      </c>
      <c r="D922" s="3" t="s">
        <v>43</v>
      </c>
      <c r="E922" s="3" t="s">
        <v>48</v>
      </c>
      <c r="F922" s="3">
        <v>21</v>
      </c>
      <c r="G922" s="3" t="s">
        <v>16</v>
      </c>
      <c r="H922" s="3" t="s">
        <v>1905</v>
      </c>
      <c r="I922" s="3"/>
      <c r="J922" s="3" t="s">
        <v>17</v>
      </c>
      <c r="K922" s="3">
        <v>34905</v>
      </c>
    </row>
    <row r="923" spans="1:11">
      <c r="A923" s="3" t="s">
        <v>1906</v>
      </c>
      <c r="B923" s="3" t="s">
        <v>238</v>
      </c>
      <c r="C923" s="3" t="s">
        <v>83</v>
      </c>
      <c r="D923" s="3" t="s">
        <v>21</v>
      </c>
      <c r="E923" s="3" t="s">
        <v>22</v>
      </c>
      <c r="F923" s="3">
        <v>28</v>
      </c>
      <c r="G923" s="3" t="s">
        <v>23</v>
      </c>
      <c r="H923" s="3" t="s">
        <v>1907</v>
      </c>
      <c r="I923" s="3"/>
      <c r="J923" s="3" t="s">
        <v>17</v>
      </c>
      <c r="K923" s="3">
        <v>66174</v>
      </c>
    </row>
    <row r="924" spans="1:11">
      <c r="A924" s="3" t="s">
        <v>1908</v>
      </c>
      <c r="B924" s="3" t="s">
        <v>128</v>
      </c>
      <c r="C924" s="3" t="s">
        <v>113</v>
      </c>
      <c r="D924" s="3" t="s">
        <v>43</v>
      </c>
      <c r="E924" s="3" t="s">
        <v>44</v>
      </c>
      <c r="F924" s="3">
        <v>32</v>
      </c>
      <c r="G924" s="3" t="s">
        <v>16</v>
      </c>
      <c r="H924" s="3" t="s">
        <v>1909</v>
      </c>
      <c r="I924" s="3"/>
      <c r="J924" s="3" t="s">
        <v>17</v>
      </c>
      <c r="K924" s="3">
        <v>61009</v>
      </c>
    </row>
    <row r="925" spans="1:11">
      <c r="A925" s="3" t="s">
        <v>1910</v>
      </c>
      <c r="B925" s="3" t="s">
        <v>109</v>
      </c>
      <c r="C925" s="3" t="s">
        <v>13</v>
      </c>
      <c r="D925" s="3" t="s">
        <v>21</v>
      </c>
      <c r="E925" s="3" t="s">
        <v>155</v>
      </c>
      <c r="F925" s="3">
        <v>34</v>
      </c>
      <c r="G925" s="3" t="s">
        <v>16</v>
      </c>
      <c r="H925" s="3" t="s">
        <v>1911</v>
      </c>
      <c r="I925" s="3"/>
      <c r="J925" s="3" t="s">
        <v>17</v>
      </c>
      <c r="K925" s="3">
        <v>54994</v>
      </c>
    </row>
    <row r="926" spans="1:11">
      <c r="A926" s="3" t="s">
        <v>1912</v>
      </c>
      <c r="B926" s="3" t="s">
        <v>468</v>
      </c>
      <c r="C926" s="3" t="s">
        <v>205</v>
      </c>
      <c r="D926" s="3" t="s">
        <v>14</v>
      </c>
      <c r="E926" s="3" t="s">
        <v>75</v>
      </c>
      <c r="F926" s="3">
        <v>49</v>
      </c>
      <c r="G926" s="3" t="s">
        <v>23</v>
      </c>
      <c r="H926" s="3" t="s">
        <v>1913</v>
      </c>
      <c r="I926" s="3"/>
      <c r="J926" s="3" t="s">
        <v>17</v>
      </c>
      <c r="K926" s="3">
        <v>74526</v>
      </c>
    </row>
    <row r="927" spans="1:11">
      <c r="A927" s="3" t="s">
        <v>1914</v>
      </c>
      <c r="B927" s="3" t="s">
        <v>298</v>
      </c>
      <c r="C927" s="3" t="s">
        <v>94</v>
      </c>
      <c r="D927" s="3" t="s">
        <v>33</v>
      </c>
      <c r="E927" s="3" t="s">
        <v>34</v>
      </c>
      <c r="F927" s="3">
        <v>34</v>
      </c>
      <c r="G927" s="3" t="s">
        <v>23</v>
      </c>
      <c r="H927" s="3" t="s">
        <v>918</v>
      </c>
      <c r="I927" s="3"/>
      <c r="J927" s="3" t="s">
        <v>17</v>
      </c>
      <c r="K927" s="3">
        <v>48424</v>
      </c>
    </row>
    <row r="928" spans="1:11">
      <c r="A928" s="3" t="s">
        <v>1915</v>
      </c>
      <c r="B928" s="3" t="s">
        <v>252</v>
      </c>
      <c r="C928" s="3" t="s">
        <v>59</v>
      </c>
      <c r="D928" s="3" t="s">
        <v>43</v>
      </c>
      <c r="E928" s="3" t="s">
        <v>44</v>
      </c>
      <c r="F928" s="3">
        <v>34</v>
      </c>
      <c r="G928" s="3" t="s">
        <v>16</v>
      </c>
      <c r="H928" s="3" t="s">
        <v>1916</v>
      </c>
      <c r="I928" s="3"/>
      <c r="J928" s="3" t="s">
        <v>17</v>
      </c>
      <c r="K928" s="3">
        <v>50687</v>
      </c>
    </row>
    <row r="929" spans="1:11">
      <c r="A929" s="3" t="s">
        <v>1917</v>
      </c>
      <c r="B929" s="3" t="s">
        <v>68</v>
      </c>
      <c r="C929" s="3" t="s">
        <v>59</v>
      </c>
      <c r="D929" s="3" t="s">
        <v>27</v>
      </c>
      <c r="E929" s="3" t="s">
        <v>122</v>
      </c>
      <c r="F929" s="3">
        <v>40</v>
      </c>
      <c r="G929" s="3" t="s">
        <v>16</v>
      </c>
      <c r="H929" s="3" t="s">
        <v>1918</v>
      </c>
      <c r="I929" s="3"/>
      <c r="J929" s="3" t="s">
        <v>17</v>
      </c>
      <c r="K929" s="3">
        <v>55566</v>
      </c>
    </row>
    <row r="930" spans="1:11">
      <c r="A930" s="3" t="s">
        <v>1919</v>
      </c>
      <c r="B930" s="3" t="s">
        <v>216</v>
      </c>
      <c r="C930" s="3" t="s">
        <v>146</v>
      </c>
      <c r="D930" s="3" t="s">
        <v>21</v>
      </c>
      <c r="E930" s="3" t="s">
        <v>87</v>
      </c>
      <c r="F930" s="3">
        <v>31</v>
      </c>
      <c r="G930" s="3" t="s">
        <v>16</v>
      </c>
      <c r="H930" s="3" t="s">
        <v>588</v>
      </c>
      <c r="I930" s="3"/>
      <c r="J930" s="3" t="s">
        <v>17</v>
      </c>
      <c r="K930" s="3">
        <v>63915</v>
      </c>
    </row>
    <row r="931" spans="1:11">
      <c r="A931" s="3" t="s">
        <v>1920</v>
      </c>
      <c r="B931" s="3" t="s">
        <v>263</v>
      </c>
      <c r="C931" s="3" t="s">
        <v>42</v>
      </c>
      <c r="D931" s="3" t="s">
        <v>21</v>
      </c>
      <c r="E931" s="3" t="s">
        <v>22</v>
      </c>
      <c r="F931" s="3">
        <v>41</v>
      </c>
      <c r="G931" s="3" t="s">
        <v>23</v>
      </c>
      <c r="H931" s="4">
        <v>45114</v>
      </c>
      <c r="I931" s="3"/>
      <c r="J931" s="3" t="s">
        <v>17</v>
      </c>
      <c r="K931" s="3">
        <v>63450</v>
      </c>
    </row>
    <row r="932" spans="1:11">
      <c r="A932" s="3" t="s">
        <v>1921</v>
      </c>
      <c r="B932" s="3" t="s">
        <v>68</v>
      </c>
      <c r="C932" s="3" t="s">
        <v>169</v>
      </c>
      <c r="D932" s="3" t="s">
        <v>64</v>
      </c>
      <c r="E932" s="3" t="s">
        <v>161</v>
      </c>
      <c r="F932" s="3">
        <v>31</v>
      </c>
      <c r="G932" s="3" t="s">
        <v>16</v>
      </c>
      <c r="H932" s="3" t="s">
        <v>1922</v>
      </c>
      <c r="I932" s="3"/>
      <c r="J932" s="3" t="s">
        <v>17</v>
      </c>
      <c r="K932" s="3">
        <v>57080</v>
      </c>
    </row>
    <row r="933" spans="1:11">
      <c r="A933" s="3" t="s">
        <v>1923</v>
      </c>
      <c r="B933" s="3" t="s">
        <v>141</v>
      </c>
      <c r="C933" s="3" t="s">
        <v>103</v>
      </c>
      <c r="D933" s="3" t="s">
        <v>27</v>
      </c>
      <c r="E933" s="3" t="s">
        <v>122</v>
      </c>
      <c r="F933" s="3">
        <v>28</v>
      </c>
      <c r="G933" s="3" t="s">
        <v>23</v>
      </c>
      <c r="H933" s="3" t="s">
        <v>1924</v>
      </c>
      <c r="I933" s="3"/>
      <c r="J933" s="3" t="s">
        <v>17</v>
      </c>
      <c r="K933" s="3">
        <v>53227</v>
      </c>
    </row>
    <row r="934" spans="1:11">
      <c r="A934" s="3" t="s">
        <v>1925</v>
      </c>
      <c r="B934" s="3" t="s">
        <v>109</v>
      </c>
      <c r="C934" s="3" t="s">
        <v>53</v>
      </c>
      <c r="D934" s="3" t="s">
        <v>648</v>
      </c>
      <c r="E934" s="3" t="s">
        <v>266</v>
      </c>
      <c r="F934" s="3">
        <v>40</v>
      </c>
      <c r="G934" s="3" t="s">
        <v>16</v>
      </c>
      <c r="H934" s="3" t="s">
        <v>1926</v>
      </c>
      <c r="I934" s="3"/>
      <c r="J934" s="3" t="s">
        <v>17</v>
      </c>
      <c r="K934" s="3">
        <v>62311</v>
      </c>
    </row>
    <row r="935" spans="1:11">
      <c r="A935" s="3" t="s">
        <v>1927</v>
      </c>
      <c r="B935" s="3" t="s">
        <v>73</v>
      </c>
      <c r="C935" s="3" t="s">
        <v>103</v>
      </c>
      <c r="D935" s="3" t="s">
        <v>33</v>
      </c>
      <c r="E935" s="3" t="s">
        <v>79</v>
      </c>
      <c r="F935" s="3">
        <v>43</v>
      </c>
      <c r="G935" s="3" t="s">
        <v>16</v>
      </c>
      <c r="H935" s="3" t="s">
        <v>1928</v>
      </c>
      <c r="I935" s="3"/>
      <c r="J935" s="3" t="s">
        <v>17</v>
      </c>
      <c r="K935" s="3">
        <v>41445</v>
      </c>
    </row>
    <row r="936" spans="1:11">
      <c r="A936" s="3" t="s">
        <v>1929</v>
      </c>
      <c r="B936" s="3" t="s">
        <v>98</v>
      </c>
      <c r="C936" s="3" t="s">
        <v>42</v>
      </c>
      <c r="D936" s="3" t="s">
        <v>21</v>
      </c>
      <c r="E936" s="3" t="s">
        <v>155</v>
      </c>
      <c r="F936" s="3">
        <v>42</v>
      </c>
      <c r="G936" s="3" t="s">
        <v>16</v>
      </c>
      <c r="H936" s="3" t="s">
        <v>1697</v>
      </c>
      <c r="I936" s="3"/>
      <c r="J936" s="3" t="s">
        <v>17</v>
      </c>
      <c r="K936" s="3">
        <v>63429</v>
      </c>
    </row>
    <row r="937" spans="1:11">
      <c r="A937" s="3" t="s">
        <v>1930</v>
      </c>
      <c r="B937" s="3" t="s">
        <v>216</v>
      </c>
      <c r="C937" s="3" t="s">
        <v>20</v>
      </c>
      <c r="D937" s="3" t="s">
        <v>435</v>
      </c>
      <c r="E937" s="3" t="s">
        <v>79</v>
      </c>
      <c r="F937" s="3">
        <v>37</v>
      </c>
      <c r="G937" s="3" t="s">
        <v>16</v>
      </c>
      <c r="H937" s="3" t="s">
        <v>1931</v>
      </c>
      <c r="I937" s="3"/>
      <c r="J937" s="3" t="s">
        <v>17</v>
      </c>
      <c r="K937" s="3">
        <v>47721</v>
      </c>
    </row>
    <row r="938" spans="1:11">
      <c r="A938" s="3" t="s">
        <v>1932</v>
      </c>
      <c r="B938" s="3" t="s">
        <v>121</v>
      </c>
      <c r="C938" s="3" t="s">
        <v>213</v>
      </c>
      <c r="D938" s="3" t="s">
        <v>43</v>
      </c>
      <c r="E938" s="3" t="s">
        <v>48</v>
      </c>
      <c r="F938" s="3">
        <v>21</v>
      </c>
      <c r="G938" s="3" t="s">
        <v>16</v>
      </c>
      <c r="H938" s="3" t="s">
        <v>1933</v>
      </c>
      <c r="I938" s="3"/>
      <c r="J938" s="3" t="s">
        <v>17</v>
      </c>
      <c r="K938" s="3">
        <v>50062</v>
      </c>
    </row>
    <row r="939" spans="1:11">
      <c r="A939" s="3" t="s">
        <v>1934</v>
      </c>
      <c r="B939" s="3" t="s">
        <v>62</v>
      </c>
      <c r="C939" s="3" t="s">
        <v>63</v>
      </c>
      <c r="D939" s="3" t="s">
        <v>27</v>
      </c>
      <c r="E939" s="3" t="s">
        <v>122</v>
      </c>
      <c r="F939" s="3">
        <v>23</v>
      </c>
      <c r="G939" s="3" t="s">
        <v>16</v>
      </c>
      <c r="H939" s="3" t="s">
        <v>1935</v>
      </c>
      <c r="I939" s="3"/>
      <c r="J939" s="3" t="s">
        <v>17</v>
      </c>
      <c r="K939" s="3">
        <v>28200</v>
      </c>
    </row>
    <row r="940" spans="1:11">
      <c r="A940" s="3" t="s">
        <v>1936</v>
      </c>
      <c r="B940" s="3" t="s">
        <v>31</v>
      </c>
      <c r="C940" s="3" t="s">
        <v>103</v>
      </c>
      <c r="D940" s="3" t="s">
        <v>33</v>
      </c>
      <c r="E940" s="3" t="s">
        <v>34</v>
      </c>
      <c r="F940" s="3">
        <v>33</v>
      </c>
      <c r="G940" s="3" t="s">
        <v>16</v>
      </c>
      <c r="H940" s="3" t="s">
        <v>598</v>
      </c>
      <c r="I940" s="3"/>
      <c r="J940" s="3" t="s">
        <v>17</v>
      </c>
      <c r="K940" s="3">
        <v>29033</v>
      </c>
    </row>
    <row r="941" spans="1:11">
      <c r="A941" s="3" t="s">
        <v>1937</v>
      </c>
      <c r="B941" s="3" t="s">
        <v>102</v>
      </c>
      <c r="C941" s="3" t="s">
        <v>38</v>
      </c>
      <c r="D941" s="3" t="s">
        <v>21</v>
      </c>
      <c r="E941" s="3" t="s">
        <v>22</v>
      </c>
      <c r="F941" s="3">
        <v>24</v>
      </c>
      <c r="G941" s="3" t="s">
        <v>23</v>
      </c>
      <c r="H941" s="3" t="s">
        <v>1938</v>
      </c>
      <c r="I941" s="3"/>
      <c r="J941" s="3" t="s">
        <v>17</v>
      </c>
      <c r="K941" s="3">
        <v>54942</v>
      </c>
    </row>
    <row r="942" spans="1:11">
      <c r="A942" s="3" t="s">
        <v>1939</v>
      </c>
      <c r="B942" s="3" t="s">
        <v>216</v>
      </c>
      <c r="C942" s="3" t="s">
        <v>63</v>
      </c>
      <c r="D942" s="3" t="s">
        <v>21</v>
      </c>
      <c r="E942" s="3" t="s">
        <v>95</v>
      </c>
      <c r="F942" s="3">
        <v>31</v>
      </c>
      <c r="G942" s="3" t="s">
        <v>16</v>
      </c>
      <c r="H942" s="3" t="s">
        <v>1940</v>
      </c>
      <c r="I942" s="3"/>
      <c r="J942" s="3" t="s">
        <v>17</v>
      </c>
      <c r="K942" s="3">
        <v>34936</v>
      </c>
    </row>
    <row r="943" spans="1:11">
      <c r="A943" s="3" t="s">
        <v>1941</v>
      </c>
      <c r="B943" s="3" t="s">
        <v>93</v>
      </c>
      <c r="C943" s="3" t="s">
        <v>26</v>
      </c>
      <c r="D943" s="3" t="s">
        <v>43</v>
      </c>
      <c r="E943" s="3" t="s">
        <v>48</v>
      </c>
      <c r="F943" s="3">
        <v>38</v>
      </c>
      <c r="G943" s="3" t="s">
        <v>23</v>
      </c>
      <c r="H943" s="3" t="s">
        <v>1574</v>
      </c>
      <c r="I943" s="3"/>
      <c r="J943" s="3" t="s">
        <v>17</v>
      </c>
      <c r="K943" s="3">
        <v>60659</v>
      </c>
    </row>
    <row r="944" spans="1:11">
      <c r="A944" s="3" t="s">
        <v>1942</v>
      </c>
      <c r="B944" s="3" t="s">
        <v>102</v>
      </c>
      <c r="C944" s="3" t="s">
        <v>53</v>
      </c>
      <c r="D944" s="3" t="s">
        <v>21</v>
      </c>
      <c r="E944" s="3" t="s">
        <v>95</v>
      </c>
      <c r="F944" s="3">
        <v>34</v>
      </c>
      <c r="G944" s="3" t="s">
        <v>16</v>
      </c>
      <c r="H944" s="3" t="s">
        <v>1943</v>
      </c>
      <c r="I944" s="3"/>
      <c r="J944" s="3" t="s">
        <v>17</v>
      </c>
      <c r="K944" s="3">
        <v>53919</v>
      </c>
    </row>
    <row r="945" spans="1:11">
      <c r="A945" s="3" t="s">
        <v>1944</v>
      </c>
      <c r="B945" s="3" t="s">
        <v>37</v>
      </c>
      <c r="C945" s="3" t="s">
        <v>53</v>
      </c>
      <c r="D945" s="3" t="s">
        <v>43</v>
      </c>
      <c r="E945" s="3" t="s">
        <v>44</v>
      </c>
      <c r="F945" s="3">
        <v>29</v>
      </c>
      <c r="G945" s="3" t="s">
        <v>23</v>
      </c>
      <c r="H945" s="3" t="s">
        <v>1945</v>
      </c>
      <c r="I945" s="3"/>
      <c r="J945" s="3" t="s">
        <v>17</v>
      </c>
      <c r="K945" s="3">
        <v>54354</v>
      </c>
    </row>
    <row r="946" spans="1:11">
      <c r="A946" s="3" t="s">
        <v>1946</v>
      </c>
      <c r="B946" s="3" t="s">
        <v>78</v>
      </c>
      <c r="C946" s="3" t="s">
        <v>42</v>
      </c>
      <c r="D946" s="3" t="s">
        <v>64</v>
      </c>
      <c r="E946" s="3" t="s">
        <v>266</v>
      </c>
      <c r="F946" s="3">
        <v>22</v>
      </c>
      <c r="G946" s="3" t="s">
        <v>23</v>
      </c>
      <c r="H946" s="4">
        <v>44121</v>
      </c>
      <c r="I946" s="3"/>
      <c r="J946" s="3" t="s">
        <v>17</v>
      </c>
      <c r="K946" s="3">
        <v>39814</v>
      </c>
    </row>
    <row r="947" spans="1:11">
      <c r="A947" s="3" t="s">
        <v>1947</v>
      </c>
      <c r="B947" s="3" t="s">
        <v>68</v>
      </c>
      <c r="C947" s="3" t="s">
        <v>164</v>
      </c>
      <c r="D947" s="3" t="s">
        <v>27</v>
      </c>
      <c r="E947" s="3" t="s">
        <v>122</v>
      </c>
      <c r="F947" s="3">
        <v>37</v>
      </c>
      <c r="G947" s="3" t="s">
        <v>23</v>
      </c>
      <c r="H947" s="3" t="s">
        <v>245</v>
      </c>
      <c r="I947" s="3"/>
      <c r="J947" s="3" t="s">
        <v>17</v>
      </c>
      <c r="K947" s="3">
        <v>55348</v>
      </c>
    </row>
    <row r="948" spans="1:11">
      <c r="A948" s="3" t="s">
        <v>1948</v>
      </c>
      <c r="B948" s="3" t="s">
        <v>152</v>
      </c>
      <c r="C948" s="3" t="s">
        <v>164</v>
      </c>
      <c r="D948" s="3" t="s">
        <v>64</v>
      </c>
      <c r="E948" s="3" t="s">
        <v>266</v>
      </c>
      <c r="F948" s="3">
        <v>29</v>
      </c>
      <c r="G948" s="3" t="s">
        <v>16</v>
      </c>
      <c r="H948" s="3" t="s">
        <v>293</v>
      </c>
      <c r="I948" s="3"/>
      <c r="J948" s="3" t="s">
        <v>17</v>
      </c>
      <c r="K948" s="3">
        <v>75287</v>
      </c>
    </row>
    <row r="949" spans="1:11">
      <c r="A949" s="3" t="s">
        <v>1949</v>
      </c>
      <c r="B949" s="3" t="s">
        <v>37</v>
      </c>
      <c r="C949" s="3" t="s">
        <v>42</v>
      </c>
      <c r="D949" s="3" t="s">
        <v>64</v>
      </c>
      <c r="E949" s="3" t="s">
        <v>266</v>
      </c>
      <c r="F949" s="3">
        <v>41</v>
      </c>
      <c r="G949" s="3" t="s">
        <v>23</v>
      </c>
      <c r="H949" s="3" t="s">
        <v>1950</v>
      </c>
      <c r="I949" s="3"/>
      <c r="J949" s="3" t="s">
        <v>17</v>
      </c>
      <c r="K949" s="3">
        <v>18628</v>
      </c>
    </row>
    <row r="950" spans="1:11">
      <c r="A950" s="3" t="s">
        <v>1951</v>
      </c>
      <c r="B950" s="3" t="s">
        <v>141</v>
      </c>
      <c r="C950" s="3" t="s">
        <v>249</v>
      </c>
      <c r="D950" s="3" t="s">
        <v>14</v>
      </c>
      <c r="E950" s="3" t="s">
        <v>75</v>
      </c>
      <c r="F950" s="3">
        <v>35</v>
      </c>
      <c r="G950" s="3" t="s">
        <v>16</v>
      </c>
      <c r="H950" s="3" t="s">
        <v>1952</v>
      </c>
      <c r="I950" s="3" t="s">
        <v>1953</v>
      </c>
      <c r="J950" s="3" t="s">
        <v>51</v>
      </c>
      <c r="K950" s="3">
        <v>39985</v>
      </c>
    </row>
    <row r="951" spans="1:11">
      <c r="A951" s="3" t="s">
        <v>1954</v>
      </c>
      <c r="B951" s="3" t="s">
        <v>186</v>
      </c>
      <c r="C951" s="3" t="s">
        <v>249</v>
      </c>
      <c r="D951" s="3" t="s">
        <v>43</v>
      </c>
      <c r="E951" s="3" t="s">
        <v>44</v>
      </c>
      <c r="F951" s="3">
        <v>25</v>
      </c>
      <c r="G951" s="3" t="s">
        <v>16</v>
      </c>
      <c r="H951" s="3" t="s">
        <v>1955</v>
      </c>
      <c r="I951" s="3"/>
      <c r="J951" s="3" t="s">
        <v>17</v>
      </c>
      <c r="K951" s="3">
        <v>18000</v>
      </c>
    </row>
    <row r="952" spans="1:11">
      <c r="A952" s="3" t="s">
        <v>1956</v>
      </c>
      <c r="B952" s="3" t="s">
        <v>58</v>
      </c>
      <c r="C952" s="3" t="s">
        <v>83</v>
      </c>
      <c r="D952" s="3" t="s">
        <v>64</v>
      </c>
      <c r="E952" s="3" t="s">
        <v>65</v>
      </c>
      <c r="F952" s="3">
        <v>45</v>
      </c>
      <c r="G952" s="3" t="s">
        <v>23</v>
      </c>
      <c r="H952" s="3" t="s">
        <v>1180</v>
      </c>
      <c r="I952" s="3"/>
      <c r="J952" s="3" t="s">
        <v>17</v>
      </c>
      <c r="K952" s="3">
        <v>55382</v>
      </c>
    </row>
    <row r="953" spans="1:11">
      <c r="A953" s="3" t="s">
        <v>1957</v>
      </c>
      <c r="B953" s="3" t="s">
        <v>106</v>
      </c>
      <c r="C953" s="3" t="s">
        <v>42</v>
      </c>
      <c r="D953" s="3" t="s">
        <v>64</v>
      </c>
      <c r="E953" s="3" t="s">
        <v>266</v>
      </c>
      <c r="F953" s="3">
        <v>47</v>
      </c>
      <c r="G953" s="3" t="s">
        <v>23</v>
      </c>
      <c r="H953" s="3" t="s">
        <v>1958</v>
      </c>
      <c r="I953" s="3"/>
      <c r="J953" s="3" t="s">
        <v>17</v>
      </c>
      <c r="K953" s="3">
        <v>58709</v>
      </c>
    </row>
    <row r="954" spans="1:11">
      <c r="A954" s="3" t="s">
        <v>1959</v>
      </c>
      <c r="B954" s="3" t="s">
        <v>31</v>
      </c>
      <c r="C954" s="3" t="s">
        <v>42</v>
      </c>
      <c r="D954" s="3" t="s">
        <v>33</v>
      </c>
      <c r="E954" s="3" t="s">
        <v>34</v>
      </c>
      <c r="F954" s="3">
        <v>21</v>
      </c>
      <c r="G954" s="3" t="s">
        <v>23</v>
      </c>
      <c r="H954" s="3" t="s">
        <v>866</v>
      </c>
      <c r="I954" s="3"/>
      <c r="J954" s="3" t="s">
        <v>17</v>
      </c>
      <c r="K954" s="3">
        <v>81055</v>
      </c>
    </row>
    <row r="955" spans="1:11">
      <c r="A955" s="3" t="s">
        <v>1960</v>
      </c>
      <c r="B955" s="3" t="s">
        <v>98</v>
      </c>
      <c r="C955" s="3" t="s">
        <v>26</v>
      </c>
      <c r="D955" s="3" t="s">
        <v>21</v>
      </c>
      <c r="E955" s="3" t="s">
        <v>87</v>
      </c>
      <c r="F955" s="3">
        <v>40</v>
      </c>
      <c r="G955" s="3" t="s">
        <v>16</v>
      </c>
      <c r="H955" s="3" t="s">
        <v>1961</v>
      </c>
      <c r="I955" s="3"/>
      <c r="J955" s="3" t="s">
        <v>17</v>
      </c>
      <c r="K955" s="3">
        <v>31793</v>
      </c>
    </row>
    <row r="956" spans="1:11">
      <c r="A956" s="3" t="s">
        <v>1962</v>
      </c>
      <c r="B956" s="3" t="s">
        <v>78</v>
      </c>
      <c r="C956" s="3" t="s">
        <v>42</v>
      </c>
      <c r="D956" s="3" t="s">
        <v>27</v>
      </c>
      <c r="E956" s="3" t="s">
        <v>54</v>
      </c>
      <c r="F956" s="3">
        <v>35</v>
      </c>
      <c r="G956" s="3" t="s">
        <v>23</v>
      </c>
      <c r="H956" s="3" t="s">
        <v>796</v>
      </c>
      <c r="I956" s="3"/>
      <c r="J956" s="3" t="s">
        <v>17</v>
      </c>
      <c r="K956" s="3">
        <v>56217</v>
      </c>
    </row>
    <row r="957" spans="1:11">
      <c r="A957" s="3" t="s">
        <v>1963</v>
      </c>
      <c r="B957" s="3" t="s">
        <v>78</v>
      </c>
      <c r="C957" s="3" t="s">
        <v>74</v>
      </c>
      <c r="D957" s="3" t="s">
        <v>21</v>
      </c>
      <c r="E957" s="3" t="s">
        <v>22</v>
      </c>
      <c r="F957" s="3">
        <v>29</v>
      </c>
      <c r="G957" s="3" t="s">
        <v>23</v>
      </c>
      <c r="H957" s="3" t="s">
        <v>1964</v>
      </c>
      <c r="I957" s="3"/>
      <c r="J957" s="3" t="s">
        <v>17</v>
      </c>
      <c r="K957" s="3">
        <v>89793</v>
      </c>
    </row>
    <row r="958" spans="1:11">
      <c r="A958" s="3" t="s">
        <v>1965</v>
      </c>
      <c r="B958" s="3" t="s">
        <v>288</v>
      </c>
      <c r="C958" s="3" t="s">
        <v>32</v>
      </c>
      <c r="D958" s="3" t="s">
        <v>64</v>
      </c>
      <c r="E958" s="3" t="s">
        <v>266</v>
      </c>
      <c r="F958" s="3">
        <v>25</v>
      </c>
      <c r="G958" s="3" t="s">
        <v>23</v>
      </c>
      <c r="H958" s="3" t="s">
        <v>1966</v>
      </c>
      <c r="I958" s="3"/>
      <c r="J958" s="3" t="s">
        <v>17</v>
      </c>
      <c r="K958" s="3">
        <v>82386</v>
      </c>
    </row>
    <row r="959" spans="1:11">
      <c r="A959" s="3" t="s">
        <v>1967</v>
      </c>
      <c r="B959" s="3" t="s">
        <v>37</v>
      </c>
      <c r="C959" s="3" t="s">
        <v>249</v>
      </c>
      <c r="D959" s="3" t="s">
        <v>33</v>
      </c>
      <c r="E959" s="3" t="s">
        <v>34</v>
      </c>
      <c r="F959" s="3">
        <v>22</v>
      </c>
      <c r="G959" s="3" t="s">
        <v>16</v>
      </c>
      <c r="H959" s="3" t="s">
        <v>1968</v>
      </c>
      <c r="I959" s="3"/>
      <c r="J959" s="3" t="s">
        <v>17</v>
      </c>
      <c r="K959" s="3">
        <v>57217</v>
      </c>
    </row>
    <row r="960" spans="1:11">
      <c r="A960" s="3" t="s">
        <v>1969</v>
      </c>
      <c r="B960" s="3" t="s">
        <v>90</v>
      </c>
      <c r="C960" s="3" t="s">
        <v>74</v>
      </c>
      <c r="D960" s="3" t="s">
        <v>21</v>
      </c>
      <c r="E960" s="3" t="s">
        <v>87</v>
      </c>
      <c r="F960" s="3">
        <v>30</v>
      </c>
      <c r="G960" s="3" t="s">
        <v>16</v>
      </c>
      <c r="H960" s="4">
        <v>45731</v>
      </c>
      <c r="I960" s="3"/>
      <c r="J960" s="3" t="s">
        <v>17</v>
      </c>
      <c r="K960" s="3">
        <v>58714</v>
      </c>
    </row>
    <row r="961" spans="1:11">
      <c r="A961" s="3" t="s">
        <v>1970</v>
      </c>
      <c r="B961" s="3" t="s">
        <v>223</v>
      </c>
      <c r="C961" s="3" t="s">
        <v>42</v>
      </c>
      <c r="D961" s="3" t="s">
        <v>33</v>
      </c>
      <c r="E961" s="3" t="s">
        <v>34</v>
      </c>
      <c r="F961" s="3">
        <v>35</v>
      </c>
      <c r="G961" s="3" t="s">
        <v>23</v>
      </c>
      <c r="H961" s="3" t="s">
        <v>1971</v>
      </c>
      <c r="I961" s="3"/>
      <c r="J961" s="3" t="s">
        <v>17</v>
      </c>
      <c r="K961" s="3">
        <v>58317</v>
      </c>
    </row>
    <row r="962" spans="1:11">
      <c r="A962" s="3" t="s">
        <v>1972</v>
      </c>
      <c r="B962" s="3" t="s">
        <v>128</v>
      </c>
      <c r="C962" s="3" t="s">
        <v>69</v>
      </c>
      <c r="D962" s="3" t="s">
        <v>14</v>
      </c>
      <c r="E962" s="3" t="s">
        <v>15</v>
      </c>
      <c r="F962" s="3">
        <v>27</v>
      </c>
      <c r="G962" s="3" t="s">
        <v>16</v>
      </c>
      <c r="H962" s="3" t="s">
        <v>1973</v>
      </c>
      <c r="I962" s="3"/>
      <c r="J962" s="3" t="s">
        <v>17</v>
      </c>
      <c r="K962" s="3">
        <v>42063</v>
      </c>
    </row>
    <row r="963" spans="1:11">
      <c r="A963" s="3" t="s">
        <v>1974</v>
      </c>
      <c r="B963" s="3" t="s">
        <v>25</v>
      </c>
      <c r="C963" s="3" t="s">
        <v>42</v>
      </c>
      <c r="D963" s="3" t="s">
        <v>33</v>
      </c>
      <c r="E963" s="3" t="s">
        <v>34</v>
      </c>
      <c r="F963" s="3">
        <v>28</v>
      </c>
      <c r="G963" s="3" t="s">
        <v>23</v>
      </c>
      <c r="H963" s="3" t="s">
        <v>830</v>
      </c>
      <c r="I963" s="3"/>
      <c r="J963" s="3" t="s">
        <v>17</v>
      </c>
      <c r="K963" s="3">
        <v>59347</v>
      </c>
    </row>
    <row r="964" spans="1:11">
      <c r="A964" s="3" t="s">
        <v>1975</v>
      </c>
      <c r="B964" s="3" t="s">
        <v>238</v>
      </c>
      <c r="C964" s="3" t="s">
        <v>135</v>
      </c>
      <c r="D964" s="3" t="s">
        <v>33</v>
      </c>
      <c r="E964" s="3" t="s">
        <v>79</v>
      </c>
      <c r="F964" s="3">
        <v>39</v>
      </c>
      <c r="G964" s="3" t="s">
        <v>23</v>
      </c>
      <c r="H964" s="3" t="s">
        <v>1976</v>
      </c>
      <c r="I964" s="3"/>
      <c r="J964" s="3" t="s">
        <v>17</v>
      </c>
      <c r="K964" s="3">
        <v>59464</v>
      </c>
    </row>
    <row r="965" spans="1:11">
      <c r="A965" s="3" t="s">
        <v>1977</v>
      </c>
      <c r="B965" s="3" t="s">
        <v>73</v>
      </c>
      <c r="C965" s="3" t="s">
        <v>174</v>
      </c>
      <c r="D965" s="3" t="s">
        <v>64</v>
      </c>
      <c r="E965" s="3" t="s">
        <v>161</v>
      </c>
      <c r="F965">
        <v>32</v>
      </c>
      <c r="G965" s="3" t="s">
        <v>23</v>
      </c>
      <c r="H965" s="3" t="s">
        <v>114</v>
      </c>
      <c r="I965" s="3"/>
      <c r="J965" s="3" t="s">
        <v>17</v>
      </c>
      <c r="K965" s="3">
        <v>31926</v>
      </c>
    </row>
    <row r="966" spans="1:11">
      <c r="A966" s="3" t="s">
        <v>1978</v>
      </c>
      <c r="B966" s="3" t="s">
        <v>12</v>
      </c>
      <c r="C966" s="3" t="s">
        <v>103</v>
      </c>
      <c r="D966" s="3" t="s">
        <v>27</v>
      </c>
      <c r="E966" s="3" t="s">
        <v>54</v>
      </c>
      <c r="F966" s="3">
        <v>34</v>
      </c>
      <c r="G966" s="3" t="s">
        <v>23</v>
      </c>
      <c r="H966" s="3" t="s">
        <v>1071</v>
      </c>
      <c r="I966" s="3"/>
      <c r="J966" s="3" t="s">
        <v>17</v>
      </c>
      <c r="K966" s="3">
        <v>39182</v>
      </c>
    </row>
    <row r="967" spans="1:11">
      <c r="A967" s="3" t="s">
        <v>1979</v>
      </c>
      <c r="B967" s="3" t="s">
        <v>216</v>
      </c>
      <c r="C967" s="3" t="s">
        <v>177</v>
      </c>
      <c r="D967" s="3" t="s">
        <v>64</v>
      </c>
      <c r="E967" s="3" t="s">
        <v>266</v>
      </c>
      <c r="F967" s="3">
        <v>32</v>
      </c>
      <c r="G967" s="3" t="s">
        <v>23</v>
      </c>
      <c r="H967" s="3" t="s">
        <v>1980</v>
      </c>
      <c r="I967" s="3"/>
      <c r="J967" s="3" t="s">
        <v>17</v>
      </c>
      <c r="K967" s="3">
        <v>24450</v>
      </c>
    </row>
    <row r="968" spans="1:11">
      <c r="A968" s="3" t="s">
        <v>1981</v>
      </c>
      <c r="B968" s="3" t="s">
        <v>298</v>
      </c>
      <c r="C968" s="3" t="s">
        <v>42</v>
      </c>
      <c r="D968" s="3" t="s">
        <v>43</v>
      </c>
      <c r="E968" s="3" t="s">
        <v>70</v>
      </c>
      <c r="F968" s="3">
        <v>40</v>
      </c>
      <c r="G968" s="3" t="s">
        <v>16</v>
      </c>
      <c r="H968" s="3" t="s">
        <v>1982</v>
      </c>
      <c r="I968" s="3" t="s">
        <v>1983</v>
      </c>
      <c r="J968" s="3" t="s">
        <v>51</v>
      </c>
      <c r="K968" s="3">
        <v>91887</v>
      </c>
    </row>
    <row r="969" spans="1:11">
      <c r="A969" s="3" t="s">
        <v>1984</v>
      </c>
      <c r="B969" s="3" t="s">
        <v>145</v>
      </c>
      <c r="C969" s="3" t="s">
        <v>59</v>
      </c>
      <c r="D969" s="3" t="s">
        <v>239</v>
      </c>
      <c r="E969" s="3" t="s">
        <v>122</v>
      </c>
      <c r="F969" s="3"/>
      <c r="G969" s="3" t="s">
        <v>23</v>
      </c>
      <c r="H969" s="3" t="s">
        <v>1985</v>
      </c>
      <c r="I969" s="3" t="s">
        <v>1986</v>
      </c>
      <c r="J969" s="3" t="s">
        <v>51</v>
      </c>
      <c r="K969" s="3">
        <v>41086</v>
      </c>
    </row>
    <row r="970" spans="1:11">
      <c r="A970" s="3" t="s">
        <v>1987</v>
      </c>
      <c r="B970" s="3" t="s">
        <v>152</v>
      </c>
      <c r="C970" s="3" t="s">
        <v>94</v>
      </c>
      <c r="D970" s="3" t="s">
        <v>27</v>
      </c>
      <c r="E970" s="3" t="s">
        <v>28</v>
      </c>
      <c r="F970" s="3">
        <v>38</v>
      </c>
      <c r="G970" s="3" t="s">
        <v>16</v>
      </c>
      <c r="H970" s="3" t="s">
        <v>1988</v>
      </c>
      <c r="I970" s="3"/>
      <c r="J970" s="3" t="s">
        <v>17</v>
      </c>
      <c r="K970" s="3">
        <v>27664</v>
      </c>
    </row>
    <row r="971" spans="1:11">
      <c r="A971" s="3" t="s">
        <v>1989</v>
      </c>
      <c r="B971" s="3" t="s">
        <v>128</v>
      </c>
      <c r="C971" s="3" t="s">
        <v>20</v>
      </c>
      <c r="D971" s="3" t="s">
        <v>64</v>
      </c>
      <c r="E971" s="3" t="s">
        <v>65</v>
      </c>
      <c r="F971" s="3">
        <v>35</v>
      </c>
      <c r="G971" s="3" t="s">
        <v>16</v>
      </c>
      <c r="H971" s="3" t="s">
        <v>91</v>
      </c>
      <c r="I971" s="3"/>
      <c r="J971" s="3" t="s">
        <v>17</v>
      </c>
      <c r="K971" s="3">
        <v>57479</v>
      </c>
    </row>
    <row r="972" spans="1:11">
      <c r="A972" s="3" t="s">
        <v>1990</v>
      </c>
      <c r="B972" s="3" t="s">
        <v>102</v>
      </c>
      <c r="C972" s="3" t="s">
        <v>53</v>
      </c>
      <c r="D972" s="3" t="s">
        <v>27</v>
      </c>
      <c r="E972" s="3" t="s">
        <v>28</v>
      </c>
      <c r="F972" s="3">
        <v>22</v>
      </c>
      <c r="G972" s="3" t="s">
        <v>23</v>
      </c>
      <c r="H972" s="3" t="s">
        <v>1033</v>
      </c>
      <c r="I972" s="3"/>
      <c r="J972" s="3" t="s">
        <v>17</v>
      </c>
      <c r="K972" s="3">
        <v>69966</v>
      </c>
    </row>
    <row r="973" spans="1:11">
      <c r="A973" s="3" t="s">
        <v>1991</v>
      </c>
      <c r="B973" s="3" t="s">
        <v>145</v>
      </c>
      <c r="C973" s="3" t="s">
        <v>74</v>
      </c>
      <c r="D973" s="3" t="s">
        <v>43</v>
      </c>
      <c r="E973" s="3" t="s">
        <v>44</v>
      </c>
      <c r="F973" s="3">
        <v>43</v>
      </c>
      <c r="G973" s="3" t="s">
        <v>16</v>
      </c>
      <c r="H973" s="3" t="s">
        <v>1992</v>
      </c>
      <c r="I973" s="3" t="s">
        <v>1832</v>
      </c>
      <c r="J973" s="3" t="s">
        <v>51</v>
      </c>
      <c r="K973" s="3">
        <v>51053</v>
      </c>
    </row>
    <row r="974" spans="1:11">
      <c r="A974" s="3" t="s">
        <v>1993</v>
      </c>
      <c r="B974" s="3" t="s">
        <v>82</v>
      </c>
      <c r="C974" s="3" t="s">
        <v>113</v>
      </c>
      <c r="D974" s="3" t="s">
        <v>33</v>
      </c>
      <c r="E974" s="3" t="s">
        <v>79</v>
      </c>
      <c r="F974" s="3">
        <v>21</v>
      </c>
      <c r="G974" s="3" t="s">
        <v>16</v>
      </c>
      <c r="H974" s="3" t="s">
        <v>1994</v>
      </c>
      <c r="I974" s="3"/>
      <c r="J974" s="3" t="s">
        <v>17</v>
      </c>
      <c r="K974" s="3">
        <v>21573</v>
      </c>
    </row>
    <row r="975" spans="1:11">
      <c r="A975" s="3" t="s">
        <v>1995</v>
      </c>
      <c r="B975" s="3" t="s">
        <v>58</v>
      </c>
      <c r="C975" s="3" t="s">
        <v>249</v>
      </c>
      <c r="D975" s="3" t="s">
        <v>321</v>
      </c>
      <c r="E975" s="3" t="s">
        <v>22</v>
      </c>
      <c r="F975" s="3">
        <v>24</v>
      </c>
      <c r="G975" s="3" t="s">
        <v>16</v>
      </c>
      <c r="H975" s="3" t="s">
        <v>1466</v>
      </c>
      <c r="I975" s="3"/>
      <c r="J975" s="3" t="s">
        <v>17</v>
      </c>
      <c r="K975" s="3">
        <v>37163</v>
      </c>
    </row>
    <row r="976" spans="1:11">
      <c r="A976" s="3" t="s">
        <v>1996</v>
      </c>
      <c r="B976" s="3" t="s">
        <v>160</v>
      </c>
      <c r="C976" s="3" t="s">
        <v>53</v>
      </c>
      <c r="D976" s="3" t="s">
        <v>14</v>
      </c>
      <c r="E976" s="3" t="s">
        <v>75</v>
      </c>
      <c r="F976" s="3">
        <v>21</v>
      </c>
      <c r="G976" s="3" t="s">
        <v>16</v>
      </c>
      <c r="H976" s="3" t="s">
        <v>1997</v>
      </c>
      <c r="I976" s="3" t="s">
        <v>1998</v>
      </c>
      <c r="J976" s="3" t="s">
        <v>51</v>
      </c>
      <c r="K976" s="3">
        <v>19395</v>
      </c>
    </row>
    <row r="977" spans="1:11">
      <c r="A977" s="3" t="s">
        <v>1999</v>
      </c>
      <c r="B977" s="3" t="s">
        <v>112</v>
      </c>
      <c r="C977" s="3" t="s">
        <v>83</v>
      </c>
      <c r="D977" s="3" t="s">
        <v>43</v>
      </c>
      <c r="E977" s="3" t="s">
        <v>44</v>
      </c>
      <c r="F977" s="3">
        <v>30</v>
      </c>
      <c r="G977" s="3" t="s">
        <v>16</v>
      </c>
      <c r="H977" s="3" t="s">
        <v>2000</v>
      </c>
      <c r="I977" s="3" t="s">
        <v>1757</v>
      </c>
      <c r="J977" s="3" t="s">
        <v>51</v>
      </c>
      <c r="K977" s="3">
        <v>94022</v>
      </c>
    </row>
    <row r="978" spans="1:11">
      <c r="A978" s="3" t="s">
        <v>2001</v>
      </c>
      <c r="B978" s="3" t="s">
        <v>41</v>
      </c>
      <c r="C978" s="3" t="s">
        <v>146</v>
      </c>
      <c r="D978" s="3" t="s">
        <v>21</v>
      </c>
      <c r="E978" s="3" t="s">
        <v>87</v>
      </c>
      <c r="F978" s="3">
        <v>36</v>
      </c>
      <c r="G978" s="3" t="s">
        <v>23</v>
      </c>
      <c r="H978" s="3" t="s">
        <v>123</v>
      </c>
      <c r="I978" s="3"/>
      <c r="J978" s="3" t="s">
        <v>17</v>
      </c>
      <c r="K978" s="3">
        <v>65841</v>
      </c>
    </row>
    <row r="979" spans="1:11">
      <c r="A979" s="3" t="s">
        <v>2002</v>
      </c>
      <c r="B979" s="3" t="s">
        <v>125</v>
      </c>
      <c r="C979" s="3" t="s">
        <v>129</v>
      </c>
      <c r="D979" s="3" t="s">
        <v>64</v>
      </c>
      <c r="E979" s="3" t="s">
        <v>266</v>
      </c>
      <c r="F979" s="3">
        <v>41</v>
      </c>
      <c r="G979" s="3" t="s">
        <v>16</v>
      </c>
      <c r="H979" s="3" t="s">
        <v>2003</v>
      </c>
      <c r="I979" s="3" t="s">
        <v>1082</v>
      </c>
      <c r="J979" s="3" t="s">
        <v>51</v>
      </c>
      <c r="K979" s="3">
        <v>47599</v>
      </c>
    </row>
    <row r="980" spans="1:11">
      <c r="A980" s="3" t="s">
        <v>2004</v>
      </c>
      <c r="B980" s="3" t="s">
        <v>12</v>
      </c>
      <c r="C980" s="3" t="s">
        <v>146</v>
      </c>
      <c r="D980" s="3" t="s">
        <v>33</v>
      </c>
      <c r="E980" s="3" t="s">
        <v>34</v>
      </c>
      <c r="F980" s="3">
        <v>36</v>
      </c>
      <c r="G980" s="3" t="s">
        <v>16</v>
      </c>
      <c r="H980" s="3" t="s">
        <v>2005</v>
      </c>
      <c r="I980" s="3"/>
      <c r="J980" s="3" t="s">
        <v>17</v>
      </c>
      <c r="K980" s="3">
        <v>41076</v>
      </c>
    </row>
    <row r="981" spans="1:11">
      <c r="A981" s="3" t="s">
        <v>2006</v>
      </c>
      <c r="B981" s="3" t="s">
        <v>112</v>
      </c>
      <c r="C981" s="3" t="s">
        <v>63</v>
      </c>
      <c r="D981" s="3" t="s">
        <v>33</v>
      </c>
      <c r="E981" s="3" t="s">
        <v>79</v>
      </c>
      <c r="F981" s="3">
        <v>44</v>
      </c>
      <c r="G981" s="3" t="s">
        <v>23</v>
      </c>
      <c r="H981" s="3" t="s">
        <v>2007</v>
      </c>
      <c r="I981" s="3"/>
      <c r="J981" s="3" t="s">
        <v>17</v>
      </c>
      <c r="K981" s="3">
        <v>49316</v>
      </c>
    </row>
    <row r="982" spans="1:11">
      <c r="A982" s="3" t="s">
        <v>2008</v>
      </c>
      <c r="B982" s="3" t="s">
        <v>78</v>
      </c>
      <c r="C982" s="3" t="s">
        <v>53</v>
      </c>
      <c r="D982" s="3" t="s">
        <v>33</v>
      </c>
      <c r="E982" s="3" t="s">
        <v>34</v>
      </c>
      <c r="F982" s="3">
        <v>33</v>
      </c>
      <c r="G982" s="3" t="s">
        <v>23</v>
      </c>
      <c r="H982" s="3" t="s">
        <v>2009</v>
      </c>
      <c r="I982" s="3"/>
      <c r="J982" s="3" t="s">
        <v>17</v>
      </c>
      <c r="K982" s="3">
        <v>60651</v>
      </c>
    </row>
    <row r="983" spans="1:11">
      <c r="A983" s="3" t="s">
        <v>2010</v>
      </c>
      <c r="B983" s="3" t="s">
        <v>134</v>
      </c>
      <c r="C983" s="3" t="s">
        <v>103</v>
      </c>
      <c r="D983" s="3" t="s">
        <v>27</v>
      </c>
      <c r="E983" s="3" t="s">
        <v>28</v>
      </c>
      <c r="F983" s="3">
        <v>35</v>
      </c>
      <c r="G983" s="3" t="s">
        <v>23</v>
      </c>
      <c r="H983" s="3" t="s">
        <v>2011</v>
      </c>
      <c r="I983" s="3"/>
      <c r="J983" s="3" t="s">
        <v>17</v>
      </c>
      <c r="K983" s="3">
        <v>41197</v>
      </c>
    </row>
    <row r="984" spans="1:11">
      <c r="A984" s="3" t="s">
        <v>2012</v>
      </c>
      <c r="B984" s="3" t="s">
        <v>134</v>
      </c>
      <c r="C984" s="3" t="s">
        <v>169</v>
      </c>
      <c r="D984" s="3" t="s">
        <v>14</v>
      </c>
      <c r="E984" s="3" t="s">
        <v>75</v>
      </c>
      <c r="F984" s="3">
        <v>40</v>
      </c>
      <c r="G984" s="3" t="s">
        <v>23</v>
      </c>
      <c r="H984" s="3" t="s">
        <v>2013</v>
      </c>
      <c r="I984" s="3"/>
      <c r="J984" s="3" t="s">
        <v>17</v>
      </c>
      <c r="K984" s="3">
        <v>61348</v>
      </c>
    </row>
    <row r="985" spans="1:11">
      <c r="A985" s="3" t="s">
        <v>2014</v>
      </c>
      <c r="B985" s="3" t="s">
        <v>216</v>
      </c>
      <c r="C985" s="3" t="s">
        <v>249</v>
      </c>
      <c r="D985" s="3" t="s">
        <v>27</v>
      </c>
      <c r="E985" s="3" t="s">
        <v>54</v>
      </c>
      <c r="F985" s="3">
        <v>24</v>
      </c>
      <c r="G985" s="3" t="s">
        <v>23</v>
      </c>
      <c r="H985" s="3" t="s">
        <v>2015</v>
      </c>
      <c r="I985" s="3"/>
      <c r="J985" s="3" t="s">
        <v>17</v>
      </c>
      <c r="K985" s="3">
        <v>91311</v>
      </c>
    </row>
    <row r="986" spans="1:11">
      <c r="A986" s="3" t="s">
        <v>2016</v>
      </c>
      <c r="B986" s="3" t="s">
        <v>128</v>
      </c>
      <c r="C986" s="3" t="s">
        <v>205</v>
      </c>
      <c r="D986" s="3" t="s">
        <v>21</v>
      </c>
      <c r="E986" s="3" t="s">
        <v>22</v>
      </c>
      <c r="F986" s="3">
        <v>30</v>
      </c>
      <c r="G986" s="3" t="s">
        <v>16</v>
      </c>
      <c r="H986" s="3" t="s">
        <v>1452</v>
      </c>
      <c r="I986" s="3"/>
      <c r="J986" s="3" t="s">
        <v>17</v>
      </c>
      <c r="K986" s="3">
        <v>31824</v>
      </c>
    </row>
    <row r="987" spans="1:11">
      <c r="A987" s="3" t="s">
        <v>2017</v>
      </c>
      <c r="B987" s="3" t="s">
        <v>134</v>
      </c>
      <c r="C987" s="3" t="s">
        <v>32</v>
      </c>
      <c r="D987" s="3" t="s">
        <v>43</v>
      </c>
      <c r="E987" s="3" t="s">
        <v>44</v>
      </c>
      <c r="F987" s="3">
        <v>45</v>
      </c>
      <c r="G987" s="3" t="s">
        <v>23</v>
      </c>
      <c r="H987" s="3" t="s">
        <v>2018</v>
      </c>
      <c r="I987" s="3"/>
      <c r="J987" s="3" t="s">
        <v>17</v>
      </c>
      <c r="K987" s="3">
        <v>50435</v>
      </c>
    </row>
    <row r="988" spans="1:11">
      <c r="A988" s="3" t="s">
        <v>2019</v>
      </c>
      <c r="B988" s="3" t="s">
        <v>109</v>
      </c>
      <c r="C988" s="3" t="s">
        <v>69</v>
      </c>
      <c r="D988" s="3" t="s">
        <v>187</v>
      </c>
      <c r="E988" s="3" t="s">
        <v>22</v>
      </c>
      <c r="F988" s="3">
        <v>26</v>
      </c>
      <c r="G988" s="3" t="s">
        <v>23</v>
      </c>
      <c r="H988" s="3" t="s">
        <v>2020</v>
      </c>
      <c r="I988" s="3"/>
      <c r="J988" s="3" t="s">
        <v>17</v>
      </c>
      <c r="K988" s="3">
        <v>28974</v>
      </c>
    </row>
    <row r="989" spans="1:11">
      <c r="A989" s="3" t="s">
        <v>2021</v>
      </c>
      <c r="B989" s="3" t="s">
        <v>288</v>
      </c>
      <c r="C989" s="3" t="s">
        <v>74</v>
      </c>
      <c r="D989" s="3" t="s">
        <v>33</v>
      </c>
      <c r="E989" s="3" t="s">
        <v>79</v>
      </c>
      <c r="F989" s="3">
        <v>33</v>
      </c>
      <c r="G989" s="3" t="s">
        <v>23</v>
      </c>
      <c r="H989" s="3" t="s">
        <v>2022</v>
      </c>
      <c r="I989" s="3"/>
      <c r="J989" s="3" t="s">
        <v>17</v>
      </c>
      <c r="K989" s="3">
        <v>78524</v>
      </c>
    </row>
    <row r="990" spans="1:11">
      <c r="A990" s="3" t="s">
        <v>2023</v>
      </c>
      <c r="B990" s="3" t="s">
        <v>25</v>
      </c>
      <c r="C990" s="3" t="s">
        <v>164</v>
      </c>
      <c r="D990" s="3" t="s">
        <v>21</v>
      </c>
      <c r="E990" s="3" t="s">
        <v>22</v>
      </c>
      <c r="F990" s="3">
        <v>28</v>
      </c>
      <c r="G990" s="3" t="s">
        <v>16</v>
      </c>
      <c r="H990" s="3" t="s">
        <v>646</v>
      </c>
      <c r="I990" s="3"/>
      <c r="J990" s="3" t="s">
        <v>17</v>
      </c>
      <c r="K990" s="3">
        <v>60271</v>
      </c>
    </row>
    <row r="991" spans="1:11">
      <c r="A991" s="3" t="s">
        <v>2024</v>
      </c>
      <c r="B991" s="3" t="s">
        <v>25</v>
      </c>
      <c r="C991" s="3" t="s">
        <v>249</v>
      </c>
      <c r="D991" s="3" t="s">
        <v>43</v>
      </c>
      <c r="E991" s="3" t="s">
        <v>70</v>
      </c>
      <c r="F991" s="3">
        <v>38</v>
      </c>
      <c r="G991" s="3" t="s">
        <v>23</v>
      </c>
      <c r="H991" s="3" t="s">
        <v>1688</v>
      </c>
      <c r="I991" s="3"/>
      <c r="J991" s="3" t="s">
        <v>17</v>
      </c>
      <c r="K991" s="3">
        <v>66447</v>
      </c>
    </row>
    <row r="992" spans="1:11">
      <c r="A992" s="3" t="s">
        <v>2025</v>
      </c>
      <c r="B992" s="3" t="s">
        <v>19</v>
      </c>
      <c r="C992" s="3" t="s">
        <v>26</v>
      </c>
      <c r="D992" s="3" t="s">
        <v>33</v>
      </c>
      <c r="E992" s="3" t="s">
        <v>34</v>
      </c>
      <c r="F992" s="3">
        <v>29</v>
      </c>
      <c r="G992" s="3" t="s">
        <v>23</v>
      </c>
      <c r="H992" s="3" t="s">
        <v>2026</v>
      </c>
      <c r="I992" s="3"/>
      <c r="J992" s="3" t="s">
        <v>17</v>
      </c>
      <c r="K992" s="3">
        <v>20100</v>
      </c>
    </row>
    <row r="993" spans="1:11">
      <c r="A993" s="3" t="s">
        <v>2027</v>
      </c>
      <c r="B993" s="3" t="s">
        <v>73</v>
      </c>
      <c r="C993" s="3" t="s">
        <v>74</v>
      </c>
      <c r="D993" s="3" t="s">
        <v>43</v>
      </c>
      <c r="E993" s="3" t="s">
        <v>70</v>
      </c>
      <c r="F993" s="3">
        <v>24</v>
      </c>
      <c r="G993" s="3" t="s">
        <v>16</v>
      </c>
      <c r="H993" s="3" t="s">
        <v>1718</v>
      </c>
      <c r="I993" s="3"/>
      <c r="J993" s="3" t="s">
        <v>17</v>
      </c>
      <c r="K993" s="3">
        <v>63656</v>
      </c>
    </row>
    <row r="994" spans="1:11">
      <c r="A994" s="3" t="s">
        <v>2028</v>
      </c>
      <c r="B994" s="3" t="s">
        <v>93</v>
      </c>
      <c r="C994" s="3" t="s">
        <v>135</v>
      </c>
      <c r="D994" s="3" t="s">
        <v>64</v>
      </c>
      <c r="E994" s="3" t="s">
        <v>161</v>
      </c>
      <c r="F994" s="3">
        <v>35</v>
      </c>
      <c r="G994" s="3" t="s">
        <v>16</v>
      </c>
      <c r="H994" s="3" t="s">
        <v>2029</v>
      </c>
      <c r="I994" s="3"/>
      <c r="J994" s="3" t="s">
        <v>17</v>
      </c>
      <c r="K994" s="3">
        <v>75502</v>
      </c>
    </row>
    <row r="995" spans="1:11">
      <c r="A995" s="3" t="s">
        <v>2030</v>
      </c>
      <c r="B995" s="3" t="s">
        <v>31</v>
      </c>
      <c r="C995" s="3" t="s">
        <v>32</v>
      </c>
      <c r="D995" s="3" t="s">
        <v>43</v>
      </c>
      <c r="E995" s="3" t="s">
        <v>48</v>
      </c>
      <c r="F995" s="3">
        <v>26</v>
      </c>
      <c r="G995" s="3" t="s">
        <v>16</v>
      </c>
      <c r="H995" s="3" t="s">
        <v>2031</v>
      </c>
      <c r="I995" s="3"/>
      <c r="J995" s="3" t="s">
        <v>17</v>
      </c>
      <c r="K995" s="3">
        <v>95174</v>
      </c>
    </row>
    <row r="996" spans="1:11">
      <c r="A996" s="3" t="s">
        <v>2032</v>
      </c>
      <c r="B996" s="3" t="s">
        <v>106</v>
      </c>
      <c r="C996" s="3" t="s">
        <v>69</v>
      </c>
      <c r="D996" s="3" t="s">
        <v>21</v>
      </c>
      <c r="E996" s="3" t="s">
        <v>95</v>
      </c>
      <c r="F996" s="3">
        <v>32</v>
      </c>
      <c r="G996" s="3" t="s">
        <v>23</v>
      </c>
      <c r="H996" s="3" t="s">
        <v>2033</v>
      </c>
      <c r="I996" s="3"/>
      <c r="J996" s="3" t="s">
        <v>17</v>
      </c>
      <c r="K996" s="3">
        <v>82489</v>
      </c>
    </row>
    <row r="997" spans="1:11">
      <c r="A997" s="3" t="s">
        <v>2034</v>
      </c>
      <c r="B997" s="3" t="s">
        <v>47</v>
      </c>
      <c r="C997" s="3" t="s">
        <v>113</v>
      </c>
      <c r="D997" s="3" t="s">
        <v>21</v>
      </c>
      <c r="E997" s="3" t="s">
        <v>22</v>
      </c>
      <c r="F997" s="3">
        <v>33</v>
      </c>
      <c r="G997" s="3" t="s">
        <v>16</v>
      </c>
      <c r="H997" s="3" t="s">
        <v>745</v>
      </c>
      <c r="I997" s="3"/>
      <c r="J997" s="3" t="s">
        <v>17</v>
      </c>
      <c r="K997" s="3">
        <v>92523</v>
      </c>
    </row>
    <row r="998" spans="1:11">
      <c r="A998" s="3" t="s">
        <v>2035</v>
      </c>
      <c r="B998" s="3" t="s">
        <v>186</v>
      </c>
      <c r="C998" s="3" t="s">
        <v>74</v>
      </c>
      <c r="D998" s="3" t="s">
        <v>21</v>
      </c>
      <c r="E998" s="3" t="s">
        <v>95</v>
      </c>
      <c r="F998" s="3">
        <v>47</v>
      </c>
      <c r="G998" s="3" t="s">
        <v>23</v>
      </c>
      <c r="H998" s="3" t="s">
        <v>2036</v>
      </c>
      <c r="I998" s="3"/>
      <c r="J998" s="3" t="s">
        <v>17</v>
      </c>
      <c r="K998" s="3">
        <v>30432</v>
      </c>
    </row>
    <row r="999" spans="1:11">
      <c r="A999" s="3" t="s">
        <v>2037</v>
      </c>
      <c r="B999" s="3" t="s">
        <v>109</v>
      </c>
      <c r="C999" s="3" t="s">
        <v>103</v>
      </c>
      <c r="D999" s="3" t="s">
        <v>33</v>
      </c>
      <c r="E999" s="3" t="s">
        <v>79</v>
      </c>
      <c r="F999" s="3">
        <v>29</v>
      </c>
      <c r="G999" s="3" t="s">
        <v>16</v>
      </c>
      <c r="H999" s="3" t="s">
        <v>2038</v>
      </c>
      <c r="I999" s="3" t="s">
        <v>2039</v>
      </c>
      <c r="J999" s="3" t="s">
        <v>51</v>
      </c>
      <c r="K999" s="3">
        <v>39059</v>
      </c>
    </row>
    <row r="1000" spans="1:11">
      <c r="A1000" s="3" t="s">
        <v>2040</v>
      </c>
      <c r="B1000" s="3" t="s">
        <v>226</v>
      </c>
      <c r="C1000" s="3" t="s">
        <v>205</v>
      </c>
      <c r="D1000" s="3" t="s">
        <v>27</v>
      </c>
      <c r="E1000" s="3" t="s">
        <v>28</v>
      </c>
      <c r="F1000" s="3">
        <v>44</v>
      </c>
      <c r="G1000" s="3" t="s">
        <v>23</v>
      </c>
      <c r="H1000" s="3" t="s">
        <v>1055</v>
      </c>
      <c r="I1000" s="3"/>
      <c r="J1000" s="3" t="s">
        <v>17</v>
      </c>
      <c r="K1000" s="3">
        <v>40773</v>
      </c>
    </row>
    <row r="1001" spans="1:11">
      <c r="A1001" s="3" t="s">
        <v>2041</v>
      </c>
      <c r="B1001" s="3" t="s">
        <v>47</v>
      </c>
      <c r="C1001" s="3" t="s">
        <v>213</v>
      </c>
      <c r="D1001" s="3" t="s">
        <v>27</v>
      </c>
      <c r="E1001" s="3" t="s">
        <v>122</v>
      </c>
      <c r="F1001" s="3">
        <v>34</v>
      </c>
      <c r="G1001" s="3" t="s">
        <v>16</v>
      </c>
      <c r="H1001" s="3" t="s">
        <v>210</v>
      </c>
      <c r="I1001" s="3"/>
      <c r="J1001" s="3" t="s">
        <v>17</v>
      </c>
      <c r="K1001" s="3">
        <v>88188</v>
      </c>
    </row>
    <row r="1002" spans="1:11">
      <c r="A1002" s="3" t="s">
        <v>2042</v>
      </c>
      <c r="B1002" s="3" t="s">
        <v>112</v>
      </c>
      <c r="C1002" s="3" t="s">
        <v>38</v>
      </c>
      <c r="D1002" s="3" t="s">
        <v>43</v>
      </c>
      <c r="E1002" s="3" t="s">
        <v>48</v>
      </c>
      <c r="F1002" s="3">
        <v>28</v>
      </c>
      <c r="G1002" s="3" t="s">
        <v>16</v>
      </c>
      <c r="H1002" s="4">
        <v>45372</v>
      </c>
      <c r="I1002" s="3"/>
      <c r="J1002" s="3" t="s">
        <v>17</v>
      </c>
      <c r="K1002" s="3">
        <v>74372</v>
      </c>
    </row>
    <row r="1003" spans="1:11">
      <c r="A1003" s="3" t="s">
        <v>2043</v>
      </c>
      <c r="B1003" s="3" t="s">
        <v>186</v>
      </c>
      <c r="C1003" s="3" t="s">
        <v>169</v>
      </c>
      <c r="D1003" s="3" t="s">
        <v>321</v>
      </c>
      <c r="E1003" s="3" t="s">
        <v>22</v>
      </c>
      <c r="F1003" s="3">
        <v>26</v>
      </c>
      <c r="G1003" s="3" t="s">
        <v>16</v>
      </c>
      <c r="H1003" s="3" t="s">
        <v>2044</v>
      </c>
      <c r="I1003" s="3"/>
      <c r="J1003" s="3" t="s">
        <v>17</v>
      </c>
      <c r="K1003" s="3">
        <v>63644</v>
      </c>
    </row>
    <row r="1004" spans="1:11">
      <c r="A1004" s="3" t="s">
        <v>2045</v>
      </c>
      <c r="B1004" s="3" t="s">
        <v>145</v>
      </c>
      <c r="C1004" s="3" t="s">
        <v>129</v>
      </c>
      <c r="D1004" s="3" t="s">
        <v>21</v>
      </c>
      <c r="E1004" s="3" t="s">
        <v>87</v>
      </c>
      <c r="F1004" s="3">
        <v>28</v>
      </c>
      <c r="G1004" s="3" t="s">
        <v>23</v>
      </c>
      <c r="H1004" s="3" t="s">
        <v>2046</v>
      </c>
      <c r="I1004" s="3"/>
      <c r="J1004" s="3" t="s">
        <v>17</v>
      </c>
      <c r="K1004" s="3">
        <v>60083</v>
      </c>
    </row>
    <row r="1005" spans="1:11">
      <c r="A1005" s="3" t="s">
        <v>2047</v>
      </c>
      <c r="B1005" s="3" t="s">
        <v>106</v>
      </c>
      <c r="C1005" s="3" t="s">
        <v>169</v>
      </c>
      <c r="D1005" s="3" t="s">
        <v>43</v>
      </c>
      <c r="E1005" s="3" t="s">
        <v>48</v>
      </c>
      <c r="F1005" s="3">
        <v>27</v>
      </c>
      <c r="G1005" s="3" t="s">
        <v>16</v>
      </c>
      <c r="H1005" s="3" t="s">
        <v>2048</v>
      </c>
      <c r="I1005" s="3"/>
      <c r="J1005" s="3" t="s">
        <v>17</v>
      </c>
      <c r="K1005" s="3">
        <v>53493</v>
      </c>
    </row>
    <row r="1006" spans="1:11">
      <c r="A1006" s="3" t="s">
        <v>2049</v>
      </c>
      <c r="B1006" s="3" t="s">
        <v>263</v>
      </c>
      <c r="C1006" s="3" t="s">
        <v>146</v>
      </c>
      <c r="D1006" s="3" t="s">
        <v>27</v>
      </c>
      <c r="E1006" s="3" t="s">
        <v>54</v>
      </c>
      <c r="F1006" s="3">
        <v>32</v>
      </c>
      <c r="G1006" s="3" t="s">
        <v>16</v>
      </c>
      <c r="H1006" s="4">
        <v>44144</v>
      </c>
      <c r="I1006" s="3"/>
      <c r="J1006" s="3" t="s">
        <v>17</v>
      </c>
      <c r="K1006" s="3">
        <v>71117</v>
      </c>
    </row>
    <row r="1007" spans="1:11">
      <c r="A1007" s="3" t="s">
        <v>2050</v>
      </c>
      <c r="B1007" s="3" t="s">
        <v>216</v>
      </c>
      <c r="C1007" s="3" t="s">
        <v>32</v>
      </c>
      <c r="D1007" s="3" t="s">
        <v>14</v>
      </c>
      <c r="E1007" s="3" t="s">
        <v>75</v>
      </c>
      <c r="F1007" s="3">
        <v>21</v>
      </c>
      <c r="G1007" s="3" t="s">
        <v>23</v>
      </c>
      <c r="H1007" s="3" t="s">
        <v>2051</v>
      </c>
      <c r="I1007" s="3"/>
      <c r="J1007" s="3" t="s">
        <v>17</v>
      </c>
      <c r="K1007" s="3">
        <v>54380</v>
      </c>
    </row>
    <row r="1008" spans="1:11">
      <c r="A1008" s="3" t="s">
        <v>2052</v>
      </c>
      <c r="B1008" s="3" t="s">
        <v>216</v>
      </c>
      <c r="C1008" s="3" t="s">
        <v>63</v>
      </c>
      <c r="D1008" s="3" t="s">
        <v>43</v>
      </c>
      <c r="E1008" s="3" t="s">
        <v>70</v>
      </c>
      <c r="F1008" s="3">
        <v>21</v>
      </c>
      <c r="G1008" s="3" t="s">
        <v>16</v>
      </c>
      <c r="H1008" s="4">
        <v>44554</v>
      </c>
      <c r="I1008" s="3"/>
      <c r="J1008" s="3" t="s">
        <v>17</v>
      </c>
      <c r="K1008" s="3">
        <v>72132</v>
      </c>
    </row>
    <row r="1009" spans="1:11">
      <c r="A1009" s="3" t="s">
        <v>2053</v>
      </c>
      <c r="B1009" s="3" t="s">
        <v>58</v>
      </c>
      <c r="C1009" s="3" t="s">
        <v>59</v>
      </c>
      <c r="D1009" s="3" t="s">
        <v>27</v>
      </c>
      <c r="E1009" s="3" t="s">
        <v>28</v>
      </c>
      <c r="F1009" s="3">
        <v>31</v>
      </c>
      <c r="G1009" s="3" t="s">
        <v>16</v>
      </c>
      <c r="H1009" s="3" t="s">
        <v>1477</v>
      </c>
      <c r="I1009" s="3"/>
      <c r="J1009" s="3" t="s">
        <v>17</v>
      </c>
      <c r="K1009" s="3">
        <v>56457</v>
      </c>
    </row>
    <row r="1010" spans="1:11">
      <c r="A1010" s="3" t="s">
        <v>2054</v>
      </c>
      <c r="B1010" s="3" t="s">
        <v>102</v>
      </c>
      <c r="C1010" s="3" t="s">
        <v>53</v>
      </c>
      <c r="D1010" s="3" t="s">
        <v>21</v>
      </c>
      <c r="E1010" s="3" t="s">
        <v>155</v>
      </c>
      <c r="F1010" s="3">
        <v>28</v>
      </c>
      <c r="G1010" s="3" t="s">
        <v>16</v>
      </c>
      <c r="H1010" s="3" t="s">
        <v>2055</v>
      </c>
      <c r="I1010" s="3"/>
      <c r="J1010" s="3" t="s">
        <v>17</v>
      </c>
      <c r="K1010" s="3">
        <v>60623</v>
      </c>
    </row>
    <row r="1011" spans="1:11">
      <c r="A1011" s="3" t="s">
        <v>2056</v>
      </c>
      <c r="B1011" s="3" t="s">
        <v>226</v>
      </c>
      <c r="C1011" s="3" t="s">
        <v>213</v>
      </c>
      <c r="D1011" s="3" t="s">
        <v>21</v>
      </c>
      <c r="E1011" s="3" t="s">
        <v>87</v>
      </c>
      <c r="F1011" s="3">
        <v>39</v>
      </c>
      <c r="G1011" s="3" t="s">
        <v>16</v>
      </c>
      <c r="H1011" s="3" t="s">
        <v>1761</v>
      </c>
      <c r="I1011" s="3"/>
      <c r="J1011" s="3" t="s">
        <v>17</v>
      </c>
      <c r="K1011" s="3">
        <v>40883</v>
      </c>
    </row>
    <row r="1012" spans="1:11">
      <c r="A1012" s="3" t="s">
        <v>2057</v>
      </c>
      <c r="B1012" s="3" t="s">
        <v>93</v>
      </c>
      <c r="C1012" s="3" t="s">
        <v>164</v>
      </c>
      <c r="D1012" s="3" t="s">
        <v>27</v>
      </c>
      <c r="E1012" s="3" t="s">
        <v>28</v>
      </c>
      <c r="F1012" s="3">
        <v>27</v>
      </c>
      <c r="G1012" s="3" t="s">
        <v>23</v>
      </c>
      <c r="H1012" s="3" t="s">
        <v>2058</v>
      </c>
      <c r="I1012" s="3"/>
      <c r="J1012" s="3" t="s">
        <v>17</v>
      </c>
      <c r="K1012" s="3">
        <v>64682</v>
      </c>
    </row>
    <row r="1013" spans="1:11">
      <c r="A1013" s="3" t="s">
        <v>2059</v>
      </c>
      <c r="B1013" s="3" t="s">
        <v>93</v>
      </c>
      <c r="C1013" s="3" t="s">
        <v>83</v>
      </c>
      <c r="D1013" s="3" t="s">
        <v>1389</v>
      </c>
      <c r="E1013" s="3" t="s">
        <v>75</v>
      </c>
      <c r="F1013" s="3">
        <v>31</v>
      </c>
      <c r="G1013" s="3" t="s">
        <v>16</v>
      </c>
      <c r="H1013" s="3" t="s">
        <v>2060</v>
      </c>
      <c r="I1013" s="3"/>
      <c r="J1013" s="3" t="s">
        <v>17</v>
      </c>
      <c r="K1013" s="3">
        <v>34215</v>
      </c>
    </row>
    <row r="1014" spans="1:11">
      <c r="A1014" s="3" t="s">
        <v>2061</v>
      </c>
      <c r="B1014" s="3" t="s">
        <v>134</v>
      </c>
      <c r="C1014" s="3" t="s">
        <v>174</v>
      </c>
      <c r="D1014" s="3" t="s">
        <v>64</v>
      </c>
      <c r="E1014" s="3" t="s">
        <v>266</v>
      </c>
      <c r="F1014" s="3">
        <v>38</v>
      </c>
      <c r="G1014" s="3" t="s">
        <v>23</v>
      </c>
      <c r="H1014" s="3" t="s">
        <v>965</v>
      </c>
      <c r="I1014" s="3"/>
      <c r="J1014" s="3" t="s">
        <v>17</v>
      </c>
      <c r="K1014" s="3">
        <v>22488</v>
      </c>
    </row>
    <row r="1015" spans="1:11">
      <c r="A1015" s="3" t="s">
        <v>2062</v>
      </c>
      <c r="B1015" s="3" t="s">
        <v>98</v>
      </c>
      <c r="C1015" s="3" t="s">
        <v>177</v>
      </c>
      <c r="D1015" s="3" t="s">
        <v>33</v>
      </c>
      <c r="E1015" s="3" t="s">
        <v>34</v>
      </c>
      <c r="F1015" s="3">
        <v>30</v>
      </c>
      <c r="G1015" s="3" t="s">
        <v>16</v>
      </c>
      <c r="H1015" s="3" t="s">
        <v>771</v>
      </c>
      <c r="I1015" s="3"/>
      <c r="J1015" s="3" t="s">
        <v>17</v>
      </c>
      <c r="K1015" s="3">
        <v>96790</v>
      </c>
    </row>
    <row r="1016" spans="1:11">
      <c r="A1016" s="3" t="s">
        <v>2063</v>
      </c>
      <c r="B1016" s="3" t="s">
        <v>226</v>
      </c>
      <c r="C1016" s="3" t="s">
        <v>113</v>
      </c>
      <c r="D1016" s="3" t="s">
        <v>33</v>
      </c>
      <c r="E1016" s="3" t="s">
        <v>34</v>
      </c>
      <c r="F1016" s="3">
        <v>21</v>
      </c>
      <c r="G1016" s="3" t="s">
        <v>16</v>
      </c>
      <c r="H1016" s="3" t="s">
        <v>2064</v>
      </c>
      <c r="I1016" s="3"/>
      <c r="J1016" s="3" t="s">
        <v>17</v>
      </c>
      <c r="K1016" s="3">
        <v>56518</v>
      </c>
    </row>
    <row r="1017" spans="1:11">
      <c r="A1017" s="3" t="s">
        <v>2065</v>
      </c>
      <c r="B1017" s="3" t="s">
        <v>223</v>
      </c>
      <c r="C1017" s="3" t="s">
        <v>74</v>
      </c>
      <c r="D1017" s="3" t="s">
        <v>21</v>
      </c>
      <c r="E1017" s="3" t="s">
        <v>22</v>
      </c>
      <c r="F1017" s="3">
        <v>31</v>
      </c>
      <c r="G1017" s="3" t="s">
        <v>23</v>
      </c>
      <c r="H1017" s="3" t="s">
        <v>2066</v>
      </c>
      <c r="I1017" s="3"/>
      <c r="J1017" s="3" t="s">
        <v>17</v>
      </c>
      <c r="K1017" s="3">
        <v>25517</v>
      </c>
    </row>
    <row r="1018" spans="1:11">
      <c r="A1018" s="3" t="s">
        <v>2067</v>
      </c>
      <c r="B1018" s="3" t="s">
        <v>145</v>
      </c>
      <c r="C1018" s="3" t="s">
        <v>26</v>
      </c>
      <c r="D1018" s="3" t="s">
        <v>33</v>
      </c>
      <c r="E1018" s="3" t="s">
        <v>79</v>
      </c>
      <c r="F1018" s="3">
        <v>33</v>
      </c>
      <c r="G1018" s="3" t="s">
        <v>16</v>
      </c>
      <c r="H1018" s="3" t="s">
        <v>2068</v>
      </c>
      <c r="I1018" s="3"/>
      <c r="J1018" s="3" t="s">
        <v>17</v>
      </c>
      <c r="K1018" s="3">
        <v>40248</v>
      </c>
    </row>
    <row r="1019" spans="1:11">
      <c r="A1019" s="3" t="s">
        <v>2069</v>
      </c>
      <c r="B1019" s="3" t="s">
        <v>58</v>
      </c>
      <c r="C1019" s="3" t="s">
        <v>20</v>
      </c>
      <c r="D1019" s="3" t="s">
        <v>43</v>
      </c>
      <c r="E1019" s="3" t="s">
        <v>48</v>
      </c>
      <c r="F1019" s="3">
        <v>25</v>
      </c>
      <c r="G1019" s="3" t="s">
        <v>16</v>
      </c>
      <c r="H1019" s="3" t="s">
        <v>2070</v>
      </c>
      <c r="I1019" s="3"/>
      <c r="J1019" s="3" t="s">
        <v>17</v>
      </c>
      <c r="K1019" s="3">
        <v>73114</v>
      </c>
    </row>
    <row r="1020" spans="1:11">
      <c r="A1020" s="3" t="s">
        <v>2071</v>
      </c>
      <c r="B1020" s="3" t="s">
        <v>238</v>
      </c>
      <c r="C1020" s="3" t="s">
        <v>103</v>
      </c>
      <c r="D1020" s="3" t="s">
        <v>64</v>
      </c>
      <c r="E1020" s="3" t="s">
        <v>65</v>
      </c>
      <c r="F1020" s="3">
        <v>22</v>
      </c>
      <c r="G1020" s="3" t="s">
        <v>16</v>
      </c>
      <c r="H1020" s="3" t="s">
        <v>2072</v>
      </c>
      <c r="I1020" s="3"/>
      <c r="J1020" s="3" t="s">
        <v>17</v>
      </c>
      <c r="K1020" s="3">
        <v>42321</v>
      </c>
    </row>
    <row r="1021" spans="1:11">
      <c r="A1021" s="3" t="s">
        <v>2073</v>
      </c>
      <c r="B1021" s="3" t="s">
        <v>223</v>
      </c>
      <c r="C1021" s="3" t="s">
        <v>177</v>
      </c>
      <c r="D1021" s="3" t="s">
        <v>43</v>
      </c>
      <c r="E1021" s="3" t="s">
        <v>70</v>
      </c>
      <c r="F1021" s="3">
        <v>28</v>
      </c>
      <c r="G1021" s="3" t="s">
        <v>23</v>
      </c>
      <c r="H1021" s="3" t="s">
        <v>1125</v>
      </c>
      <c r="I1021" s="3"/>
      <c r="J1021" s="3" t="s">
        <v>17</v>
      </c>
      <c r="K1021" s="3">
        <v>46521</v>
      </c>
    </row>
    <row r="1022" spans="1:11">
      <c r="A1022" s="3" t="s">
        <v>2074</v>
      </c>
      <c r="B1022" s="3" t="s">
        <v>128</v>
      </c>
      <c r="C1022" s="3" t="s">
        <v>129</v>
      </c>
      <c r="D1022" s="3" t="s">
        <v>33</v>
      </c>
      <c r="E1022" s="3" t="s">
        <v>34</v>
      </c>
      <c r="F1022" s="3">
        <v>22</v>
      </c>
      <c r="G1022" s="3" t="s">
        <v>16</v>
      </c>
      <c r="H1022" s="3" t="s">
        <v>1009</v>
      </c>
      <c r="I1022" s="3"/>
      <c r="J1022" s="3" t="s">
        <v>17</v>
      </c>
      <c r="K1022" s="3">
        <v>27010</v>
      </c>
    </row>
    <row r="1023" spans="1:11">
      <c r="A1023" s="3" t="s">
        <v>2075</v>
      </c>
      <c r="B1023" s="3" t="s">
        <v>19</v>
      </c>
      <c r="C1023" s="3" t="s">
        <v>53</v>
      </c>
      <c r="D1023" s="3" t="s">
        <v>27</v>
      </c>
      <c r="E1023" s="3" t="s">
        <v>54</v>
      </c>
      <c r="F1023" s="3">
        <v>31</v>
      </c>
      <c r="G1023" s="3" t="s">
        <v>23</v>
      </c>
      <c r="H1023" s="3" t="s">
        <v>2076</v>
      </c>
      <c r="I1023" s="3"/>
      <c r="J1023" s="3" t="s">
        <v>17</v>
      </c>
      <c r="K1023" s="3">
        <v>27971</v>
      </c>
    </row>
    <row r="1024" spans="1:11">
      <c r="A1024" s="3" t="s">
        <v>2077</v>
      </c>
      <c r="B1024" s="3" t="s">
        <v>121</v>
      </c>
      <c r="C1024" s="3" t="s">
        <v>135</v>
      </c>
      <c r="D1024" s="3" t="s">
        <v>648</v>
      </c>
      <c r="E1024" s="3" t="s">
        <v>161</v>
      </c>
      <c r="F1024" s="3">
        <v>26</v>
      </c>
      <c r="G1024" s="3" t="s">
        <v>23</v>
      </c>
      <c r="H1024" s="3" t="s">
        <v>951</v>
      </c>
      <c r="I1024" s="3"/>
      <c r="J1024" s="3" t="s">
        <v>17</v>
      </c>
      <c r="K1024" s="3">
        <v>48056</v>
      </c>
    </row>
    <row r="1025" spans="1:11">
      <c r="A1025" s="3" t="s">
        <v>2078</v>
      </c>
      <c r="B1025" s="3" t="s">
        <v>298</v>
      </c>
      <c r="C1025" s="3" t="s">
        <v>69</v>
      </c>
      <c r="D1025" s="3" t="s">
        <v>21</v>
      </c>
      <c r="E1025" s="3" t="s">
        <v>155</v>
      </c>
      <c r="F1025" s="3">
        <v>21</v>
      </c>
      <c r="G1025" s="3" t="s">
        <v>16</v>
      </c>
      <c r="H1025" s="3" t="s">
        <v>2079</v>
      </c>
      <c r="I1025" s="3"/>
      <c r="J1025" s="3" t="s">
        <v>17</v>
      </c>
      <c r="K1025" s="3">
        <v>46982</v>
      </c>
    </row>
    <row r="1026" spans="1:11">
      <c r="A1026" s="3" t="s">
        <v>2080</v>
      </c>
      <c r="B1026" s="3" t="s">
        <v>19</v>
      </c>
      <c r="C1026" s="3" t="s">
        <v>26</v>
      </c>
      <c r="D1026" s="3" t="s">
        <v>14</v>
      </c>
      <c r="E1026" s="3" t="s">
        <v>75</v>
      </c>
      <c r="F1026" s="3">
        <v>25</v>
      </c>
      <c r="G1026" s="3" t="s">
        <v>23</v>
      </c>
      <c r="H1026" s="3" t="s">
        <v>2081</v>
      </c>
      <c r="I1026" s="3"/>
      <c r="J1026" s="3" t="s">
        <v>17</v>
      </c>
      <c r="K1026" s="3">
        <v>48110</v>
      </c>
    </row>
    <row r="1027" spans="1:11">
      <c r="A1027" s="3" t="s">
        <v>2082</v>
      </c>
      <c r="B1027" s="3" t="s">
        <v>125</v>
      </c>
      <c r="C1027" s="3" t="s">
        <v>74</v>
      </c>
      <c r="D1027" s="3" t="s">
        <v>21</v>
      </c>
      <c r="E1027" s="3" t="s">
        <v>95</v>
      </c>
      <c r="F1027" s="3">
        <v>39</v>
      </c>
      <c r="G1027" s="3" t="s">
        <v>16</v>
      </c>
      <c r="H1027" s="3" t="s">
        <v>2083</v>
      </c>
      <c r="I1027" s="3" t="s">
        <v>2084</v>
      </c>
      <c r="J1027" s="3" t="s">
        <v>51</v>
      </c>
      <c r="K1027" s="3">
        <v>56623</v>
      </c>
    </row>
    <row r="1028" spans="1:11">
      <c r="A1028" s="3" t="s">
        <v>2085</v>
      </c>
      <c r="B1028" s="3" t="s">
        <v>73</v>
      </c>
      <c r="C1028" s="3" t="s">
        <v>174</v>
      </c>
      <c r="D1028" s="3" t="s">
        <v>187</v>
      </c>
      <c r="E1028" s="3" t="s">
        <v>87</v>
      </c>
      <c r="F1028" s="3">
        <v>37</v>
      </c>
      <c r="G1028" s="3" t="s">
        <v>16</v>
      </c>
      <c r="H1028" s="3" t="s">
        <v>2086</v>
      </c>
      <c r="I1028" s="3" t="s">
        <v>2087</v>
      </c>
      <c r="J1028" s="3" t="s">
        <v>51</v>
      </c>
      <c r="K1028" s="3">
        <v>61111</v>
      </c>
    </row>
    <row r="1029" spans="1:11">
      <c r="A1029" s="3" t="s">
        <v>2088</v>
      </c>
      <c r="B1029" s="3" t="s">
        <v>141</v>
      </c>
      <c r="C1029" s="3" t="s">
        <v>205</v>
      </c>
      <c r="D1029" s="3" t="s">
        <v>809</v>
      </c>
      <c r="E1029" s="3" t="s">
        <v>48</v>
      </c>
      <c r="F1029" s="3">
        <v>37</v>
      </c>
      <c r="G1029" s="3" t="s">
        <v>23</v>
      </c>
      <c r="H1029" s="3" t="s">
        <v>2089</v>
      </c>
      <c r="I1029" s="3" t="s">
        <v>1109</v>
      </c>
      <c r="J1029" s="3" t="s">
        <v>51</v>
      </c>
      <c r="K1029" s="3">
        <v>59936</v>
      </c>
    </row>
    <row r="1030" spans="1:11">
      <c r="A1030" s="3" t="s">
        <v>2090</v>
      </c>
      <c r="B1030" s="3" t="s">
        <v>25</v>
      </c>
      <c r="C1030" s="3" t="s">
        <v>169</v>
      </c>
      <c r="D1030" s="3" t="s">
        <v>21</v>
      </c>
      <c r="E1030" s="3" t="s">
        <v>155</v>
      </c>
      <c r="F1030">
        <v>32</v>
      </c>
      <c r="G1030" s="3" t="s">
        <v>16</v>
      </c>
      <c r="H1030" s="3" t="s">
        <v>2091</v>
      </c>
      <c r="I1030" s="3"/>
      <c r="J1030" s="3" t="s">
        <v>17</v>
      </c>
      <c r="K1030" s="3">
        <v>90735</v>
      </c>
    </row>
    <row r="1031" spans="1:11">
      <c r="A1031" s="3" t="s">
        <v>2092</v>
      </c>
      <c r="B1031" s="3" t="s">
        <v>73</v>
      </c>
      <c r="C1031" s="3" t="s">
        <v>53</v>
      </c>
      <c r="D1031" s="3" t="s">
        <v>21</v>
      </c>
      <c r="E1031" s="3" t="s">
        <v>95</v>
      </c>
      <c r="F1031" s="3">
        <v>46</v>
      </c>
      <c r="G1031" s="3" t="s">
        <v>16</v>
      </c>
      <c r="H1031" s="3" t="s">
        <v>1373</v>
      </c>
      <c r="I1031" s="3"/>
      <c r="J1031" s="3" t="s">
        <v>17</v>
      </c>
      <c r="K1031" s="3">
        <v>63502</v>
      </c>
    </row>
    <row r="1032" spans="1:11">
      <c r="A1032" s="3" t="s">
        <v>2093</v>
      </c>
      <c r="B1032" s="3" t="s">
        <v>128</v>
      </c>
      <c r="C1032" s="3" t="s">
        <v>146</v>
      </c>
      <c r="D1032" s="3" t="s">
        <v>21</v>
      </c>
      <c r="E1032" s="3" t="s">
        <v>95</v>
      </c>
      <c r="F1032" s="3">
        <v>38</v>
      </c>
      <c r="G1032" s="3" t="s">
        <v>23</v>
      </c>
      <c r="H1032" s="3" t="s">
        <v>2094</v>
      </c>
      <c r="I1032" s="3"/>
      <c r="J1032" s="3" t="s">
        <v>17</v>
      </c>
      <c r="K1032" s="3">
        <v>72389</v>
      </c>
    </row>
    <row r="1033" spans="1:11">
      <c r="A1033" s="3" t="s">
        <v>2095</v>
      </c>
      <c r="B1033" s="3" t="s">
        <v>98</v>
      </c>
      <c r="C1033" s="3" t="s">
        <v>42</v>
      </c>
      <c r="D1033" s="3" t="s">
        <v>33</v>
      </c>
      <c r="E1033" s="3" t="s">
        <v>79</v>
      </c>
      <c r="F1033" s="3">
        <v>28</v>
      </c>
      <c r="G1033" s="3" t="s">
        <v>23</v>
      </c>
      <c r="H1033" s="3" t="s">
        <v>1872</v>
      </c>
      <c r="I1033" s="3"/>
      <c r="J1033" s="3" t="s">
        <v>17</v>
      </c>
      <c r="K1033" s="3">
        <v>77168</v>
      </c>
    </row>
    <row r="1034" spans="1:11">
      <c r="A1034" s="3" t="s">
        <v>2096</v>
      </c>
      <c r="B1034" s="3" t="s">
        <v>37</v>
      </c>
      <c r="C1034" s="3" t="s">
        <v>20</v>
      </c>
      <c r="D1034" s="3" t="s">
        <v>187</v>
      </c>
      <c r="E1034" s="3" t="s">
        <v>155</v>
      </c>
      <c r="F1034" s="3"/>
      <c r="G1034" s="3" t="s">
        <v>23</v>
      </c>
      <c r="H1034" s="3" t="s">
        <v>2097</v>
      </c>
      <c r="I1034" s="3"/>
      <c r="J1034" s="3" t="s">
        <v>17</v>
      </c>
      <c r="K1034" s="3">
        <v>33981</v>
      </c>
    </row>
    <row r="1035" spans="1:11">
      <c r="A1035" s="3" t="s">
        <v>2098</v>
      </c>
      <c r="B1035" s="3" t="s">
        <v>31</v>
      </c>
      <c r="C1035" s="3" t="s">
        <v>59</v>
      </c>
      <c r="D1035" s="3" t="s">
        <v>21</v>
      </c>
      <c r="E1035" s="3" t="s">
        <v>22</v>
      </c>
      <c r="F1035" s="3">
        <v>36</v>
      </c>
      <c r="G1035" s="3" t="s">
        <v>16</v>
      </c>
      <c r="H1035" s="3" t="s">
        <v>2099</v>
      </c>
      <c r="I1035" s="3"/>
      <c r="J1035" s="3" t="s">
        <v>17</v>
      </c>
      <c r="K1035" s="3">
        <v>87812</v>
      </c>
    </row>
    <row r="1036" spans="1:11">
      <c r="A1036" s="3" t="s">
        <v>2100</v>
      </c>
      <c r="B1036" s="3" t="s">
        <v>58</v>
      </c>
      <c r="C1036" s="3" t="s">
        <v>69</v>
      </c>
      <c r="D1036" s="3" t="s">
        <v>321</v>
      </c>
      <c r="E1036" s="3" t="s">
        <v>155</v>
      </c>
      <c r="F1036">
        <v>32</v>
      </c>
      <c r="G1036" s="3" t="s">
        <v>23</v>
      </c>
      <c r="H1036" s="3" t="s">
        <v>2101</v>
      </c>
      <c r="I1036" s="3"/>
      <c r="J1036" s="3" t="s">
        <v>17</v>
      </c>
      <c r="K1036" s="3">
        <v>81853</v>
      </c>
    </row>
    <row r="1037" spans="1:11">
      <c r="A1037" s="3" t="s">
        <v>2102</v>
      </c>
      <c r="B1037" s="3" t="s">
        <v>98</v>
      </c>
      <c r="C1037" s="3" t="s">
        <v>32</v>
      </c>
      <c r="D1037" s="3" t="s">
        <v>33</v>
      </c>
      <c r="E1037" s="3" t="s">
        <v>34</v>
      </c>
      <c r="F1037" s="3">
        <v>23</v>
      </c>
      <c r="G1037" s="3" t="s">
        <v>16</v>
      </c>
      <c r="H1037" s="3" t="s">
        <v>2103</v>
      </c>
      <c r="I1037" s="3" t="s">
        <v>466</v>
      </c>
      <c r="J1037" s="3" t="s">
        <v>51</v>
      </c>
      <c r="K1037" s="3">
        <v>53451</v>
      </c>
    </row>
    <row r="1038" spans="1:11">
      <c r="A1038" s="3" t="s">
        <v>2104</v>
      </c>
      <c r="B1038" s="3" t="s">
        <v>160</v>
      </c>
      <c r="C1038" s="3" t="s">
        <v>249</v>
      </c>
      <c r="D1038" s="3" t="s">
        <v>43</v>
      </c>
      <c r="E1038" s="3" t="s">
        <v>44</v>
      </c>
      <c r="F1038" s="3">
        <v>38</v>
      </c>
      <c r="G1038" s="3" t="s">
        <v>16</v>
      </c>
      <c r="H1038" s="3" t="s">
        <v>2105</v>
      </c>
      <c r="I1038" s="3"/>
      <c r="J1038" s="3" t="s">
        <v>17</v>
      </c>
      <c r="K1038" s="3">
        <v>67819</v>
      </c>
    </row>
    <row r="1039" spans="1:11">
      <c r="A1039" s="3" t="s">
        <v>2106</v>
      </c>
      <c r="B1039" s="3" t="s">
        <v>152</v>
      </c>
      <c r="C1039" s="3" t="s">
        <v>26</v>
      </c>
      <c r="D1039" s="3" t="s">
        <v>33</v>
      </c>
      <c r="E1039" s="3" t="s">
        <v>79</v>
      </c>
      <c r="F1039" s="3">
        <v>42</v>
      </c>
      <c r="G1039" s="3" t="s">
        <v>16</v>
      </c>
      <c r="H1039" s="3" t="s">
        <v>1500</v>
      </c>
      <c r="I1039" s="3"/>
      <c r="J1039" s="3" t="s">
        <v>17</v>
      </c>
      <c r="K1039" s="3">
        <v>39134</v>
      </c>
    </row>
    <row r="1040" spans="1:11">
      <c r="A1040" s="3" t="s">
        <v>2107</v>
      </c>
      <c r="B1040" s="3" t="s">
        <v>12</v>
      </c>
      <c r="C1040" s="3" t="s">
        <v>74</v>
      </c>
      <c r="D1040" s="3" t="s">
        <v>21</v>
      </c>
      <c r="E1040" s="3" t="s">
        <v>87</v>
      </c>
      <c r="F1040" s="3"/>
      <c r="G1040" s="3" t="s">
        <v>23</v>
      </c>
      <c r="H1040" s="3" t="s">
        <v>2108</v>
      </c>
      <c r="I1040" s="3"/>
      <c r="J1040" s="3" t="s">
        <v>17</v>
      </c>
      <c r="K1040" s="3">
        <v>65491</v>
      </c>
    </row>
    <row r="1041" spans="1:11">
      <c r="A1041" s="3" t="s">
        <v>2109</v>
      </c>
      <c r="B1041" s="3" t="s">
        <v>47</v>
      </c>
      <c r="C1041" s="3" t="s">
        <v>113</v>
      </c>
      <c r="D1041" s="3" t="s">
        <v>14</v>
      </c>
      <c r="E1041" s="3" t="s">
        <v>75</v>
      </c>
      <c r="F1041" s="3">
        <v>35</v>
      </c>
      <c r="G1041" s="3" t="s">
        <v>23</v>
      </c>
      <c r="H1041" s="3" t="s">
        <v>845</v>
      </c>
      <c r="I1041" s="3"/>
      <c r="J1041" s="3" t="s">
        <v>17</v>
      </c>
      <c r="K1041" s="3">
        <v>62651</v>
      </c>
    </row>
    <row r="1042" spans="1:11">
      <c r="A1042" s="3" t="s">
        <v>2110</v>
      </c>
      <c r="B1042" s="3" t="s">
        <v>102</v>
      </c>
      <c r="C1042" s="3" t="s">
        <v>20</v>
      </c>
      <c r="D1042" s="3" t="s">
        <v>33</v>
      </c>
      <c r="E1042" s="3" t="s">
        <v>34</v>
      </c>
      <c r="F1042" s="3">
        <v>24</v>
      </c>
      <c r="G1042" s="3" t="s">
        <v>23</v>
      </c>
      <c r="H1042" s="3" t="s">
        <v>2111</v>
      </c>
      <c r="I1042" s="3"/>
      <c r="J1042" s="3" t="s">
        <v>17</v>
      </c>
      <c r="K1042" s="3">
        <v>36616</v>
      </c>
    </row>
    <row r="1043" spans="1:11">
      <c r="A1043" s="3" t="s">
        <v>2112</v>
      </c>
      <c r="B1043" s="3" t="s">
        <v>121</v>
      </c>
      <c r="C1043" s="3" t="s">
        <v>69</v>
      </c>
      <c r="D1043" s="3" t="s">
        <v>187</v>
      </c>
      <c r="E1043" s="3" t="s">
        <v>95</v>
      </c>
      <c r="F1043" s="3">
        <v>34</v>
      </c>
      <c r="G1043" s="3" t="s">
        <v>16</v>
      </c>
      <c r="H1043" s="3" t="s">
        <v>1302</v>
      </c>
      <c r="I1043" s="3"/>
      <c r="J1043" s="3" t="s">
        <v>17</v>
      </c>
      <c r="K1043" s="3">
        <v>59698</v>
      </c>
    </row>
    <row r="1044" spans="1:11">
      <c r="A1044" s="3" t="s">
        <v>2113</v>
      </c>
      <c r="B1044" s="3" t="s">
        <v>98</v>
      </c>
      <c r="C1044" s="3" t="s">
        <v>59</v>
      </c>
      <c r="D1044" s="3" t="s">
        <v>21</v>
      </c>
      <c r="E1044" s="3" t="s">
        <v>87</v>
      </c>
      <c r="F1044" s="3">
        <v>31</v>
      </c>
      <c r="G1044" s="3" t="s">
        <v>23</v>
      </c>
      <c r="H1044" s="3" t="s">
        <v>2114</v>
      </c>
      <c r="I1044" s="3"/>
      <c r="J1044" s="3" t="s">
        <v>17</v>
      </c>
      <c r="K1044" s="3">
        <v>82203</v>
      </c>
    </row>
    <row r="1045" spans="1:11">
      <c r="A1045" s="3" t="s">
        <v>2115</v>
      </c>
      <c r="B1045" s="3" t="s">
        <v>98</v>
      </c>
      <c r="C1045" s="3" t="s">
        <v>42</v>
      </c>
      <c r="D1045" s="3" t="s">
        <v>33</v>
      </c>
      <c r="E1045" s="3" t="s">
        <v>79</v>
      </c>
      <c r="F1045" s="3">
        <v>24</v>
      </c>
      <c r="G1045" s="3" t="s">
        <v>23</v>
      </c>
      <c r="H1045" s="3" t="s">
        <v>2116</v>
      </c>
      <c r="I1045" s="3"/>
      <c r="J1045" s="3" t="s">
        <v>17</v>
      </c>
      <c r="K1045" s="3">
        <v>38671</v>
      </c>
    </row>
    <row r="1046" spans="1:11">
      <c r="A1046" s="3" t="s">
        <v>2117</v>
      </c>
      <c r="B1046" s="3" t="s">
        <v>86</v>
      </c>
      <c r="C1046" s="3" t="s">
        <v>164</v>
      </c>
      <c r="D1046" s="3" t="s">
        <v>27</v>
      </c>
      <c r="E1046" s="3" t="s">
        <v>28</v>
      </c>
      <c r="F1046" s="3">
        <v>39</v>
      </c>
      <c r="G1046" s="3" t="s">
        <v>16</v>
      </c>
      <c r="H1046" s="3" t="s">
        <v>2070</v>
      </c>
      <c r="I1046" s="3"/>
      <c r="J1046" s="3" t="s">
        <v>17</v>
      </c>
      <c r="K1046" s="3">
        <v>62481</v>
      </c>
    </row>
    <row r="1047" spans="1:11">
      <c r="A1047" s="3" t="s">
        <v>2118</v>
      </c>
      <c r="B1047" s="3" t="s">
        <v>128</v>
      </c>
      <c r="C1047" s="3" t="s">
        <v>135</v>
      </c>
      <c r="D1047" s="3" t="s">
        <v>14</v>
      </c>
      <c r="E1047" s="3" t="s">
        <v>15</v>
      </c>
      <c r="F1047" s="3">
        <v>30</v>
      </c>
      <c r="G1047" s="3" t="s">
        <v>23</v>
      </c>
      <c r="H1047" s="3" t="s">
        <v>230</v>
      </c>
      <c r="I1047" s="3"/>
      <c r="J1047" s="3" t="s">
        <v>17</v>
      </c>
      <c r="K1047" s="3">
        <v>19261</v>
      </c>
    </row>
    <row r="1048" spans="1:11">
      <c r="A1048" s="3" t="s">
        <v>2119</v>
      </c>
      <c r="B1048" s="3" t="s">
        <v>216</v>
      </c>
      <c r="C1048" s="3" t="s">
        <v>113</v>
      </c>
      <c r="D1048" s="3" t="s">
        <v>33</v>
      </c>
      <c r="E1048" s="3" t="s">
        <v>79</v>
      </c>
      <c r="F1048" s="3">
        <v>30</v>
      </c>
      <c r="G1048" s="3" t="s">
        <v>16</v>
      </c>
      <c r="H1048" s="3" t="s">
        <v>2120</v>
      </c>
      <c r="I1048" s="3"/>
      <c r="J1048" s="3" t="s">
        <v>17</v>
      </c>
      <c r="K1048" s="3">
        <v>51260</v>
      </c>
    </row>
    <row r="1049" spans="1:11">
      <c r="A1049" s="3" t="s">
        <v>2121</v>
      </c>
      <c r="B1049" s="3" t="s">
        <v>106</v>
      </c>
      <c r="C1049" s="3" t="s">
        <v>213</v>
      </c>
      <c r="D1049" s="3" t="s">
        <v>33</v>
      </c>
      <c r="E1049" s="3" t="s">
        <v>79</v>
      </c>
      <c r="F1049" s="3">
        <v>36</v>
      </c>
      <c r="G1049" s="3" t="s">
        <v>23</v>
      </c>
      <c r="H1049" s="3" t="s">
        <v>2122</v>
      </c>
      <c r="I1049" s="3"/>
      <c r="J1049" s="3" t="s">
        <v>17</v>
      </c>
      <c r="K1049" s="3">
        <v>48162</v>
      </c>
    </row>
    <row r="1050" spans="1:11">
      <c r="A1050" s="3" t="s">
        <v>2123</v>
      </c>
      <c r="B1050" s="3" t="s">
        <v>468</v>
      </c>
      <c r="C1050" s="3" t="s">
        <v>205</v>
      </c>
      <c r="D1050" s="3" t="s">
        <v>14</v>
      </c>
      <c r="E1050" s="3" t="s">
        <v>15</v>
      </c>
      <c r="F1050" s="3">
        <v>21</v>
      </c>
      <c r="G1050" s="3" t="s">
        <v>16</v>
      </c>
      <c r="H1050" s="3" t="s">
        <v>2124</v>
      </c>
      <c r="I1050" s="3"/>
      <c r="J1050" s="3" t="s">
        <v>17</v>
      </c>
      <c r="K1050" s="3">
        <v>70679</v>
      </c>
    </row>
    <row r="1051" spans="1:11">
      <c r="A1051" s="3" t="s">
        <v>2125</v>
      </c>
      <c r="B1051" s="3" t="s">
        <v>252</v>
      </c>
      <c r="C1051" s="3" t="s">
        <v>63</v>
      </c>
      <c r="D1051" s="3" t="s">
        <v>27</v>
      </c>
      <c r="E1051" s="3" t="s">
        <v>54</v>
      </c>
      <c r="F1051" s="3">
        <v>23</v>
      </c>
      <c r="G1051" s="3" t="s">
        <v>23</v>
      </c>
      <c r="H1051" s="3" t="s">
        <v>2126</v>
      </c>
      <c r="I1051" s="3"/>
      <c r="J1051" s="3" t="s">
        <v>17</v>
      </c>
      <c r="K1051" s="3">
        <v>45133</v>
      </c>
    </row>
    <row r="1052" spans="1:11">
      <c r="A1052" s="3" t="s">
        <v>2127</v>
      </c>
      <c r="B1052" s="3" t="s">
        <v>223</v>
      </c>
      <c r="C1052" s="3" t="s">
        <v>94</v>
      </c>
      <c r="D1052" s="3" t="s">
        <v>187</v>
      </c>
      <c r="E1052" s="3" t="s">
        <v>95</v>
      </c>
      <c r="F1052" s="3">
        <v>27</v>
      </c>
      <c r="G1052" s="3" t="s">
        <v>16</v>
      </c>
      <c r="H1052" s="3" t="s">
        <v>2128</v>
      </c>
      <c r="I1052" s="3" t="s">
        <v>529</v>
      </c>
      <c r="J1052" s="3" t="s">
        <v>51</v>
      </c>
      <c r="K1052" s="3">
        <v>38117</v>
      </c>
    </row>
    <row r="1053" spans="1:11">
      <c r="A1053" s="3" t="s">
        <v>2129</v>
      </c>
      <c r="B1053" s="3" t="s">
        <v>82</v>
      </c>
      <c r="C1053" s="3" t="s">
        <v>69</v>
      </c>
      <c r="D1053" s="3" t="s">
        <v>21</v>
      </c>
      <c r="E1053" s="3" t="s">
        <v>155</v>
      </c>
      <c r="F1053" s="3">
        <v>40</v>
      </c>
      <c r="G1053" s="3" t="s">
        <v>16</v>
      </c>
      <c r="H1053" s="3" t="s">
        <v>1019</v>
      </c>
      <c r="I1053" s="3"/>
      <c r="J1053" s="3" t="s">
        <v>17</v>
      </c>
      <c r="K1053" s="3">
        <v>31134</v>
      </c>
    </row>
    <row r="1054" spans="1:11">
      <c r="A1054" s="3" t="s">
        <v>2130</v>
      </c>
      <c r="B1054" s="3" t="s">
        <v>145</v>
      </c>
      <c r="C1054" s="3" t="s">
        <v>26</v>
      </c>
      <c r="D1054" s="3" t="s">
        <v>21</v>
      </c>
      <c r="E1054" s="3" t="s">
        <v>87</v>
      </c>
      <c r="F1054" s="3">
        <v>35</v>
      </c>
      <c r="G1054" s="3" t="s">
        <v>16</v>
      </c>
      <c r="H1054" s="3" t="s">
        <v>1227</v>
      </c>
      <c r="I1054" s="3"/>
      <c r="J1054" s="3" t="s">
        <v>17</v>
      </c>
      <c r="K1054" s="3">
        <v>67286</v>
      </c>
    </row>
    <row r="1055" spans="1:11">
      <c r="A1055" s="3" t="s">
        <v>2131</v>
      </c>
      <c r="B1055" s="3" t="s">
        <v>226</v>
      </c>
      <c r="C1055" s="3" t="s">
        <v>74</v>
      </c>
      <c r="D1055" s="3" t="s">
        <v>27</v>
      </c>
      <c r="E1055" s="3" t="s">
        <v>122</v>
      </c>
      <c r="F1055" s="3">
        <v>24</v>
      </c>
      <c r="G1055" s="3" t="s">
        <v>16</v>
      </c>
      <c r="H1055" s="3" t="s">
        <v>2132</v>
      </c>
      <c r="I1055" s="3"/>
      <c r="J1055" s="3" t="s">
        <v>17</v>
      </c>
      <c r="K1055" s="3">
        <v>66991</v>
      </c>
    </row>
    <row r="1056" spans="1:11">
      <c r="A1056" s="3" t="s">
        <v>2133</v>
      </c>
      <c r="B1056" s="3" t="s">
        <v>98</v>
      </c>
      <c r="C1056" s="3" t="s">
        <v>174</v>
      </c>
      <c r="D1056" s="3" t="s">
        <v>21</v>
      </c>
      <c r="E1056" s="3" t="s">
        <v>155</v>
      </c>
      <c r="F1056" s="3">
        <v>32</v>
      </c>
      <c r="G1056" s="3" t="s">
        <v>16</v>
      </c>
      <c r="H1056" s="3" t="s">
        <v>2134</v>
      </c>
      <c r="I1056" s="3"/>
      <c r="J1056" s="3" t="s">
        <v>17</v>
      </c>
      <c r="K1056" s="3">
        <v>79744</v>
      </c>
    </row>
    <row r="1057" spans="1:11">
      <c r="A1057" s="3" t="s">
        <v>2135</v>
      </c>
      <c r="B1057" s="3" t="s">
        <v>401</v>
      </c>
      <c r="C1057" s="3" t="s">
        <v>59</v>
      </c>
      <c r="D1057" s="3" t="s">
        <v>43</v>
      </c>
      <c r="E1057" s="3" t="s">
        <v>70</v>
      </c>
      <c r="F1057" s="3">
        <v>26</v>
      </c>
      <c r="G1057" s="3" t="s">
        <v>16</v>
      </c>
      <c r="H1057" s="3" t="s">
        <v>2136</v>
      </c>
      <c r="I1057" s="3"/>
      <c r="J1057" s="3" t="s">
        <v>17</v>
      </c>
      <c r="K1057" s="3">
        <v>64281</v>
      </c>
    </row>
    <row r="1058" spans="1:11">
      <c r="A1058" s="3" t="s">
        <v>2137</v>
      </c>
      <c r="B1058" s="3" t="s">
        <v>93</v>
      </c>
      <c r="C1058" s="3" t="s">
        <v>174</v>
      </c>
      <c r="D1058" s="3" t="s">
        <v>33</v>
      </c>
      <c r="E1058" s="3" t="s">
        <v>79</v>
      </c>
      <c r="F1058" s="3">
        <v>42</v>
      </c>
      <c r="G1058" s="3" t="s">
        <v>23</v>
      </c>
      <c r="H1058" s="3" t="s">
        <v>255</v>
      </c>
      <c r="I1058" s="3"/>
      <c r="J1058" s="3" t="s">
        <v>17</v>
      </c>
      <c r="K1058" s="3">
        <v>64921</v>
      </c>
    </row>
    <row r="1059" spans="1:11">
      <c r="A1059" s="3" t="s">
        <v>2138</v>
      </c>
      <c r="B1059" s="3" t="s">
        <v>25</v>
      </c>
      <c r="C1059" s="3" t="s">
        <v>32</v>
      </c>
      <c r="D1059" s="3" t="s">
        <v>43</v>
      </c>
      <c r="E1059" s="3" t="s">
        <v>70</v>
      </c>
      <c r="F1059" s="3">
        <v>36</v>
      </c>
      <c r="G1059" s="3" t="s">
        <v>23</v>
      </c>
      <c r="H1059" s="3" t="s">
        <v>2139</v>
      </c>
      <c r="I1059" s="3"/>
      <c r="J1059" s="3" t="s">
        <v>17</v>
      </c>
      <c r="K1059" s="3">
        <v>58729</v>
      </c>
    </row>
    <row r="1060" spans="1:11">
      <c r="A1060" s="3" t="s">
        <v>2140</v>
      </c>
      <c r="B1060" s="3" t="s">
        <v>112</v>
      </c>
      <c r="C1060" s="3" t="s">
        <v>146</v>
      </c>
      <c r="D1060" s="3" t="s">
        <v>64</v>
      </c>
      <c r="E1060" s="3" t="s">
        <v>266</v>
      </c>
      <c r="F1060" s="3">
        <v>36</v>
      </c>
      <c r="G1060" s="3" t="s">
        <v>16</v>
      </c>
      <c r="H1060" s="3" t="s">
        <v>1668</v>
      </c>
      <c r="I1060" s="3"/>
      <c r="J1060" s="3" t="s">
        <v>17</v>
      </c>
      <c r="K1060" s="3">
        <v>89551</v>
      </c>
    </row>
    <row r="1061" spans="1:11">
      <c r="A1061" s="3" t="s">
        <v>2141</v>
      </c>
      <c r="B1061" s="3" t="s">
        <v>252</v>
      </c>
      <c r="C1061" s="3" t="s">
        <v>169</v>
      </c>
      <c r="D1061" s="3" t="s">
        <v>43</v>
      </c>
      <c r="E1061" s="3" t="s">
        <v>48</v>
      </c>
      <c r="F1061" s="3">
        <v>34</v>
      </c>
      <c r="G1061" s="3" t="s">
        <v>16</v>
      </c>
      <c r="H1061" s="3" t="s">
        <v>912</v>
      </c>
      <c r="I1061" s="3"/>
      <c r="J1061" s="3" t="s">
        <v>17</v>
      </c>
      <c r="K1061" s="3">
        <v>42663</v>
      </c>
    </row>
    <row r="1062" spans="1:11">
      <c r="A1062" s="3" t="s">
        <v>2142</v>
      </c>
      <c r="B1062" s="3" t="s">
        <v>19</v>
      </c>
      <c r="C1062" s="3" t="s">
        <v>146</v>
      </c>
      <c r="D1062" s="3" t="s">
        <v>43</v>
      </c>
      <c r="E1062" s="3" t="s">
        <v>44</v>
      </c>
      <c r="F1062" s="3">
        <v>39</v>
      </c>
      <c r="G1062" s="3" t="s">
        <v>16</v>
      </c>
      <c r="H1062" s="3" t="s">
        <v>2122</v>
      </c>
      <c r="I1062" s="3"/>
      <c r="J1062" s="3" t="s">
        <v>17</v>
      </c>
      <c r="K1062" s="3">
        <v>51921</v>
      </c>
    </row>
    <row r="1063" spans="1:11">
      <c r="A1063" s="3" t="s">
        <v>2143</v>
      </c>
      <c r="B1063" s="3" t="s">
        <v>216</v>
      </c>
      <c r="C1063" s="3" t="s">
        <v>26</v>
      </c>
      <c r="D1063" s="3" t="s">
        <v>43</v>
      </c>
      <c r="E1063" s="3" t="s">
        <v>48</v>
      </c>
      <c r="F1063" s="3">
        <v>21</v>
      </c>
      <c r="G1063" s="3" t="s">
        <v>23</v>
      </c>
      <c r="H1063" s="3" t="s">
        <v>2144</v>
      </c>
      <c r="I1063" s="3"/>
      <c r="J1063" s="3" t="s">
        <v>17</v>
      </c>
      <c r="K1063" s="3">
        <v>59594</v>
      </c>
    </row>
    <row r="1064" spans="1:11">
      <c r="A1064" s="3" t="s">
        <v>2145</v>
      </c>
      <c r="B1064" s="3" t="s">
        <v>73</v>
      </c>
      <c r="C1064" s="3" t="s">
        <v>94</v>
      </c>
      <c r="D1064" s="3" t="s">
        <v>43</v>
      </c>
      <c r="E1064" s="3" t="s">
        <v>70</v>
      </c>
      <c r="F1064" s="3">
        <v>24</v>
      </c>
      <c r="G1064" s="3" t="s">
        <v>16</v>
      </c>
      <c r="H1064" s="3" t="s">
        <v>2146</v>
      </c>
      <c r="I1064" s="3"/>
      <c r="J1064" s="3" t="s">
        <v>17</v>
      </c>
      <c r="K1064" s="3">
        <v>101695</v>
      </c>
    </row>
    <row r="1065" spans="1:11">
      <c r="A1065" s="3" t="s">
        <v>2147</v>
      </c>
      <c r="B1065" s="3" t="s">
        <v>102</v>
      </c>
      <c r="C1065" s="3" t="s">
        <v>20</v>
      </c>
      <c r="D1065" s="3" t="s">
        <v>21</v>
      </c>
      <c r="E1065" s="3" t="s">
        <v>155</v>
      </c>
      <c r="F1065" s="3">
        <v>28</v>
      </c>
      <c r="G1065" s="3" t="s">
        <v>23</v>
      </c>
      <c r="H1065" s="3" t="s">
        <v>2148</v>
      </c>
      <c r="I1065" s="3"/>
      <c r="J1065" s="3" t="s">
        <v>17</v>
      </c>
      <c r="K1065" s="3">
        <v>63017</v>
      </c>
    </row>
    <row r="1066" spans="1:11">
      <c r="A1066" s="3" t="s">
        <v>2149</v>
      </c>
      <c r="B1066" s="3" t="s">
        <v>109</v>
      </c>
      <c r="C1066" s="3" t="s">
        <v>169</v>
      </c>
      <c r="D1066" s="3" t="s">
        <v>43</v>
      </c>
      <c r="E1066" s="3" t="s">
        <v>48</v>
      </c>
      <c r="F1066" s="3">
        <v>35</v>
      </c>
      <c r="G1066" s="3" t="s">
        <v>16</v>
      </c>
      <c r="H1066" s="3" t="s">
        <v>1881</v>
      </c>
      <c r="I1066" s="3"/>
      <c r="J1066" s="3" t="s">
        <v>17</v>
      </c>
      <c r="K1066" s="3">
        <v>77134</v>
      </c>
    </row>
    <row r="1067" spans="1:11">
      <c r="A1067" s="3" t="s">
        <v>2150</v>
      </c>
      <c r="B1067" s="3" t="s">
        <v>263</v>
      </c>
      <c r="C1067" s="3" t="s">
        <v>74</v>
      </c>
      <c r="D1067" s="3" t="s">
        <v>118</v>
      </c>
      <c r="E1067" s="3" t="s">
        <v>70</v>
      </c>
      <c r="F1067" s="3">
        <v>32</v>
      </c>
      <c r="G1067" s="3" t="s">
        <v>16</v>
      </c>
      <c r="H1067" s="3" t="s">
        <v>1183</v>
      </c>
      <c r="I1067" s="3"/>
      <c r="J1067" s="3" t="s">
        <v>17</v>
      </c>
      <c r="K1067" s="3">
        <v>69282</v>
      </c>
    </row>
    <row r="1068" spans="1:11">
      <c r="A1068" s="3" t="s">
        <v>2151</v>
      </c>
      <c r="B1068" s="3" t="s">
        <v>141</v>
      </c>
      <c r="C1068" s="3" t="s">
        <v>113</v>
      </c>
      <c r="D1068" s="3" t="s">
        <v>21</v>
      </c>
      <c r="E1068" s="3" t="s">
        <v>22</v>
      </c>
      <c r="F1068" s="3">
        <v>36</v>
      </c>
      <c r="G1068" s="3" t="s">
        <v>16</v>
      </c>
      <c r="H1068" s="3" t="s">
        <v>2152</v>
      </c>
      <c r="I1068" s="3"/>
      <c r="J1068" s="3" t="s">
        <v>17</v>
      </c>
      <c r="K1068" s="3">
        <v>18000</v>
      </c>
    </row>
    <row r="1069" spans="1:11">
      <c r="A1069" s="3" t="s">
        <v>2153</v>
      </c>
      <c r="B1069" s="3" t="s">
        <v>226</v>
      </c>
      <c r="C1069" s="3" t="s">
        <v>94</v>
      </c>
      <c r="D1069" s="3" t="s">
        <v>33</v>
      </c>
      <c r="E1069" s="3" t="s">
        <v>34</v>
      </c>
      <c r="F1069" s="3">
        <v>26</v>
      </c>
      <c r="G1069" s="3" t="s">
        <v>16</v>
      </c>
      <c r="H1069" s="3" t="s">
        <v>2154</v>
      </c>
      <c r="I1069" s="3"/>
      <c r="J1069" s="3" t="s">
        <v>17</v>
      </c>
      <c r="K1069" s="3">
        <v>52960</v>
      </c>
    </row>
    <row r="1070" spans="1:11">
      <c r="A1070" s="3" t="s">
        <v>2155</v>
      </c>
      <c r="B1070" s="3" t="s">
        <v>12</v>
      </c>
      <c r="C1070" s="3" t="s">
        <v>205</v>
      </c>
      <c r="D1070" s="3" t="s">
        <v>64</v>
      </c>
      <c r="E1070" s="3" t="s">
        <v>65</v>
      </c>
      <c r="F1070" s="3">
        <v>40</v>
      </c>
      <c r="G1070" s="3" t="s">
        <v>16</v>
      </c>
      <c r="H1070" s="3" t="s">
        <v>1526</v>
      </c>
      <c r="I1070" s="3" t="s">
        <v>1290</v>
      </c>
      <c r="J1070" s="3" t="s">
        <v>51</v>
      </c>
      <c r="K1070" s="3">
        <v>57452</v>
      </c>
    </row>
    <row r="1071" spans="1:11">
      <c r="A1071" s="3" t="s">
        <v>2156</v>
      </c>
      <c r="B1071" s="3" t="s">
        <v>47</v>
      </c>
      <c r="C1071" s="3" t="s">
        <v>59</v>
      </c>
      <c r="D1071" s="3" t="s">
        <v>21</v>
      </c>
      <c r="E1071" s="3" t="s">
        <v>155</v>
      </c>
      <c r="F1071" s="3">
        <v>21</v>
      </c>
      <c r="G1071" s="3" t="s">
        <v>16</v>
      </c>
      <c r="H1071" s="3" t="s">
        <v>2157</v>
      </c>
      <c r="I1071" s="3" t="s">
        <v>2158</v>
      </c>
      <c r="J1071" s="3" t="s">
        <v>51</v>
      </c>
      <c r="K1071" s="3">
        <v>57037</v>
      </c>
    </row>
    <row r="1072" spans="1:11">
      <c r="A1072" s="3" t="s">
        <v>2159</v>
      </c>
      <c r="B1072" s="3" t="s">
        <v>109</v>
      </c>
      <c r="C1072" s="3" t="s">
        <v>69</v>
      </c>
      <c r="D1072" s="3" t="s">
        <v>21</v>
      </c>
      <c r="E1072" s="3" t="s">
        <v>87</v>
      </c>
      <c r="F1072" s="3">
        <v>35</v>
      </c>
      <c r="G1072" s="3" t="s">
        <v>16</v>
      </c>
      <c r="H1072" s="3" t="s">
        <v>2160</v>
      </c>
      <c r="I1072" s="3"/>
      <c r="J1072" s="3" t="s">
        <v>17</v>
      </c>
      <c r="K1072" s="3">
        <v>74915</v>
      </c>
    </row>
    <row r="1073" spans="1:11">
      <c r="A1073" s="3" t="s">
        <v>2161</v>
      </c>
      <c r="B1073" s="3" t="s">
        <v>37</v>
      </c>
      <c r="C1073" s="3" t="s">
        <v>32</v>
      </c>
      <c r="D1073" s="3" t="s">
        <v>33</v>
      </c>
      <c r="E1073" s="3" t="s">
        <v>79</v>
      </c>
      <c r="F1073" s="3">
        <v>25</v>
      </c>
      <c r="G1073" s="3" t="s">
        <v>23</v>
      </c>
      <c r="H1073" s="3" t="s">
        <v>955</v>
      </c>
      <c r="I1073" s="3"/>
      <c r="J1073" s="3" t="s">
        <v>17</v>
      </c>
      <c r="K1073" s="3">
        <v>67249</v>
      </c>
    </row>
    <row r="1074" spans="1:11">
      <c r="A1074" s="3" t="s">
        <v>2162</v>
      </c>
      <c r="B1074" s="3" t="s">
        <v>216</v>
      </c>
      <c r="C1074" s="3" t="s">
        <v>129</v>
      </c>
      <c r="D1074" s="3" t="s">
        <v>27</v>
      </c>
      <c r="E1074" s="3" t="s">
        <v>54</v>
      </c>
      <c r="F1074" s="3">
        <v>26</v>
      </c>
      <c r="G1074" s="3" t="s">
        <v>16</v>
      </c>
      <c r="H1074" s="3" t="s">
        <v>2163</v>
      </c>
      <c r="I1074" s="3"/>
      <c r="J1074" s="3" t="s">
        <v>17</v>
      </c>
      <c r="K1074" s="3">
        <v>64618</v>
      </c>
    </row>
    <row r="1075" spans="1:11">
      <c r="A1075" s="3" t="s">
        <v>2164</v>
      </c>
      <c r="B1075" s="3" t="s">
        <v>252</v>
      </c>
      <c r="C1075" s="3" t="s">
        <v>74</v>
      </c>
      <c r="D1075" s="3" t="s">
        <v>33</v>
      </c>
      <c r="E1075" s="3" t="s">
        <v>34</v>
      </c>
      <c r="F1075" s="3">
        <v>32</v>
      </c>
      <c r="G1075" s="3" t="s">
        <v>16</v>
      </c>
      <c r="H1075" s="3" t="s">
        <v>2165</v>
      </c>
      <c r="I1075" s="3"/>
      <c r="J1075" s="3" t="s">
        <v>17</v>
      </c>
      <c r="K1075" s="3">
        <v>56532</v>
      </c>
    </row>
    <row r="1076" spans="1:11">
      <c r="A1076" s="3" t="s">
        <v>2166</v>
      </c>
      <c r="B1076" s="3" t="s">
        <v>41</v>
      </c>
      <c r="C1076" s="3" t="s">
        <v>103</v>
      </c>
      <c r="D1076" s="3" t="s">
        <v>14</v>
      </c>
      <c r="E1076" s="3" t="s">
        <v>75</v>
      </c>
      <c r="F1076" s="3">
        <v>26</v>
      </c>
      <c r="G1076" s="3" t="s">
        <v>16</v>
      </c>
      <c r="H1076" s="3" t="s">
        <v>2167</v>
      </c>
      <c r="I1076" s="3"/>
      <c r="J1076" s="3" t="s">
        <v>17</v>
      </c>
      <c r="K1076" s="3">
        <v>89443</v>
      </c>
    </row>
    <row r="1077" spans="1:11">
      <c r="A1077" s="3" t="s">
        <v>2168</v>
      </c>
      <c r="B1077" s="3" t="s">
        <v>62</v>
      </c>
      <c r="C1077" s="3" t="s">
        <v>63</v>
      </c>
      <c r="D1077" s="3" t="s">
        <v>21</v>
      </c>
      <c r="E1077" s="3" t="s">
        <v>155</v>
      </c>
      <c r="F1077" s="3">
        <v>38</v>
      </c>
      <c r="G1077" s="3" t="s">
        <v>16</v>
      </c>
      <c r="H1077" s="3" t="s">
        <v>2139</v>
      </c>
      <c r="I1077" s="3"/>
      <c r="J1077" s="3" t="s">
        <v>17</v>
      </c>
      <c r="K1077" s="3">
        <v>43418</v>
      </c>
    </row>
    <row r="1078" spans="1:11">
      <c r="A1078" s="3" t="s">
        <v>2169</v>
      </c>
      <c r="B1078" s="3" t="s">
        <v>288</v>
      </c>
      <c r="C1078" s="3" t="s">
        <v>205</v>
      </c>
      <c r="D1078" s="3" t="s">
        <v>27</v>
      </c>
      <c r="E1078" s="3" t="s">
        <v>28</v>
      </c>
      <c r="F1078" s="3">
        <v>41</v>
      </c>
      <c r="G1078" s="3" t="s">
        <v>23</v>
      </c>
      <c r="H1078" s="3" t="s">
        <v>2170</v>
      </c>
      <c r="I1078" s="3"/>
      <c r="J1078" s="3" t="s">
        <v>17</v>
      </c>
      <c r="K1078" s="3">
        <v>52005</v>
      </c>
    </row>
    <row r="1079" spans="1:11">
      <c r="A1079" s="3" t="s">
        <v>2171</v>
      </c>
      <c r="B1079" s="3" t="s">
        <v>37</v>
      </c>
      <c r="C1079" s="3" t="s">
        <v>59</v>
      </c>
      <c r="D1079" s="3" t="s">
        <v>21</v>
      </c>
      <c r="E1079" s="3" t="s">
        <v>22</v>
      </c>
      <c r="F1079" s="3">
        <v>28</v>
      </c>
      <c r="G1079" s="3" t="s">
        <v>23</v>
      </c>
      <c r="H1079" s="3" t="s">
        <v>2172</v>
      </c>
      <c r="I1079" s="3"/>
      <c r="J1079" s="3" t="s">
        <v>17</v>
      </c>
      <c r="K1079" s="3">
        <v>33823</v>
      </c>
    </row>
    <row r="1080" spans="1:11">
      <c r="A1080" s="3" t="s">
        <v>2173</v>
      </c>
      <c r="B1080" s="3" t="s">
        <v>252</v>
      </c>
      <c r="C1080" s="3" t="s">
        <v>169</v>
      </c>
      <c r="D1080" s="3" t="s">
        <v>21</v>
      </c>
      <c r="E1080" s="3" t="s">
        <v>87</v>
      </c>
      <c r="F1080" s="3">
        <v>28</v>
      </c>
      <c r="G1080" s="3" t="s">
        <v>16</v>
      </c>
      <c r="H1080" s="3" t="s">
        <v>2174</v>
      </c>
      <c r="I1080" s="3"/>
      <c r="J1080" s="3" t="s">
        <v>17</v>
      </c>
      <c r="K1080" s="3">
        <v>37251</v>
      </c>
    </row>
    <row r="1081" spans="1:11">
      <c r="A1081" s="3" t="s">
        <v>2175</v>
      </c>
      <c r="B1081" s="3" t="s">
        <v>152</v>
      </c>
      <c r="C1081" s="3" t="s">
        <v>74</v>
      </c>
      <c r="D1081" s="3" t="s">
        <v>27</v>
      </c>
      <c r="E1081" s="3" t="s">
        <v>122</v>
      </c>
      <c r="F1081" s="3">
        <v>34</v>
      </c>
      <c r="G1081" s="3" t="s">
        <v>16</v>
      </c>
      <c r="H1081" s="3" t="s">
        <v>1271</v>
      </c>
      <c r="I1081" s="3"/>
      <c r="J1081" s="3" t="s">
        <v>17</v>
      </c>
      <c r="K1081" s="3">
        <v>29702</v>
      </c>
    </row>
    <row r="1082" spans="1:11">
      <c r="A1082" s="3" t="s">
        <v>2176</v>
      </c>
      <c r="B1082" s="3" t="s">
        <v>263</v>
      </c>
      <c r="C1082" s="3" t="s">
        <v>63</v>
      </c>
      <c r="D1082" s="3" t="s">
        <v>27</v>
      </c>
      <c r="E1082" s="3" t="s">
        <v>28</v>
      </c>
      <c r="F1082" s="3">
        <v>31</v>
      </c>
      <c r="G1082" s="3" t="s">
        <v>16</v>
      </c>
      <c r="H1082" s="3" t="s">
        <v>2177</v>
      </c>
      <c r="I1082" s="3"/>
      <c r="J1082" s="3" t="s">
        <v>17</v>
      </c>
      <c r="K1082" s="3">
        <v>37788</v>
      </c>
    </row>
    <row r="1083" spans="1:11">
      <c r="A1083" s="3" t="s">
        <v>2178</v>
      </c>
      <c r="B1083" s="3" t="s">
        <v>216</v>
      </c>
      <c r="C1083" s="3" t="s">
        <v>26</v>
      </c>
      <c r="D1083" s="3" t="s">
        <v>27</v>
      </c>
      <c r="E1083" s="3" t="s">
        <v>54</v>
      </c>
      <c r="F1083" s="3">
        <v>25</v>
      </c>
      <c r="G1083" s="3" t="s">
        <v>23</v>
      </c>
      <c r="H1083" s="3" t="s">
        <v>1670</v>
      </c>
      <c r="I1083" s="3"/>
      <c r="J1083" s="3" t="s">
        <v>17</v>
      </c>
      <c r="K1083" s="3">
        <v>72009</v>
      </c>
    </row>
    <row r="1084" spans="1:11">
      <c r="A1084" s="3" t="s">
        <v>2179</v>
      </c>
      <c r="B1084" s="3" t="s">
        <v>93</v>
      </c>
      <c r="C1084" s="3" t="s">
        <v>94</v>
      </c>
      <c r="D1084" s="3" t="s">
        <v>21</v>
      </c>
      <c r="E1084" s="3" t="s">
        <v>95</v>
      </c>
      <c r="F1084" s="3">
        <v>42</v>
      </c>
      <c r="G1084" s="3" t="s">
        <v>16</v>
      </c>
      <c r="H1084" s="3" t="s">
        <v>1154</v>
      </c>
      <c r="I1084" s="3"/>
      <c r="J1084" s="3" t="s">
        <v>17</v>
      </c>
      <c r="K1084" s="3">
        <v>49239</v>
      </c>
    </row>
    <row r="1085" spans="1:11">
      <c r="A1085" s="3" t="s">
        <v>2180</v>
      </c>
      <c r="B1085" s="3" t="s">
        <v>106</v>
      </c>
      <c r="C1085" s="3" t="s">
        <v>38</v>
      </c>
      <c r="D1085" s="3" t="s">
        <v>239</v>
      </c>
      <c r="E1085" s="3" t="s">
        <v>122</v>
      </c>
      <c r="F1085" s="3">
        <v>21</v>
      </c>
      <c r="G1085" s="3" t="s">
        <v>16</v>
      </c>
      <c r="H1085" s="3" t="s">
        <v>2181</v>
      </c>
      <c r="I1085" s="3"/>
      <c r="J1085" s="3" t="s">
        <v>17</v>
      </c>
      <c r="K1085" s="3">
        <v>47345</v>
      </c>
    </row>
    <row r="1086" spans="1:11">
      <c r="A1086" s="3" t="s">
        <v>2182</v>
      </c>
      <c r="B1086" s="3" t="s">
        <v>86</v>
      </c>
      <c r="C1086" s="3" t="s">
        <v>32</v>
      </c>
      <c r="D1086" s="3" t="s">
        <v>21</v>
      </c>
      <c r="E1086" s="3" t="s">
        <v>87</v>
      </c>
      <c r="F1086" s="3">
        <v>36</v>
      </c>
      <c r="G1086" s="3" t="s">
        <v>16</v>
      </c>
      <c r="H1086" s="3" t="s">
        <v>2183</v>
      </c>
      <c r="I1086" s="3"/>
      <c r="J1086" s="3" t="s">
        <v>17</v>
      </c>
      <c r="K1086" s="3">
        <v>26857</v>
      </c>
    </row>
    <row r="1087" spans="1:11">
      <c r="A1087" s="3" t="s">
        <v>2184</v>
      </c>
      <c r="B1087" s="3" t="s">
        <v>223</v>
      </c>
      <c r="C1087" s="3" t="s">
        <v>205</v>
      </c>
      <c r="D1087" s="3" t="s">
        <v>43</v>
      </c>
      <c r="E1087" s="3" t="s">
        <v>70</v>
      </c>
      <c r="F1087" s="3">
        <v>45</v>
      </c>
      <c r="G1087" s="3" t="s">
        <v>23</v>
      </c>
      <c r="H1087" s="3" t="s">
        <v>2185</v>
      </c>
      <c r="I1087" s="3"/>
      <c r="J1087" s="3" t="s">
        <v>17</v>
      </c>
      <c r="K1087" s="3">
        <v>64890</v>
      </c>
    </row>
    <row r="1088" spans="1:11">
      <c r="A1088" s="3" t="s">
        <v>2186</v>
      </c>
      <c r="B1088" s="3" t="s">
        <v>109</v>
      </c>
      <c r="C1088" s="3" t="s">
        <v>177</v>
      </c>
      <c r="D1088" s="3" t="s">
        <v>27</v>
      </c>
      <c r="E1088" s="3" t="s">
        <v>122</v>
      </c>
      <c r="F1088" s="3">
        <v>26</v>
      </c>
      <c r="G1088" s="3" t="s">
        <v>16</v>
      </c>
      <c r="H1088" s="3" t="s">
        <v>1227</v>
      </c>
      <c r="I1088" s="3"/>
      <c r="J1088" s="3" t="s">
        <v>17</v>
      </c>
      <c r="K1088" s="3">
        <v>46295</v>
      </c>
    </row>
    <row r="1089" spans="1:11">
      <c r="A1089" s="3" t="s">
        <v>2187</v>
      </c>
      <c r="B1089" s="3" t="s">
        <v>160</v>
      </c>
      <c r="C1089" s="3" t="s">
        <v>63</v>
      </c>
      <c r="D1089" s="3" t="s">
        <v>21</v>
      </c>
      <c r="E1089" s="3" t="s">
        <v>87</v>
      </c>
      <c r="F1089" s="3">
        <v>31</v>
      </c>
      <c r="G1089" s="3" t="s">
        <v>16</v>
      </c>
      <c r="H1089" s="3" t="s">
        <v>2188</v>
      </c>
      <c r="I1089" s="3"/>
      <c r="J1089" s="3" t="s">
        <v>17</v>
      </c>
      <c r="K1089" s="3">
        <v>40766</v>
      </c>
    </row>
    <row r="1090" spans="1:11">
      <c r="A1090" s="3" t="s">
        <v>2189</v>
      </c>
      <c r="B1090" s="3" t="s">
        <v>298</v>
      </c>
      <c r="C1090" s="3" t="s">
        <v>249</v>
      </c>
      <c r="D1090" s="3" t="s">
        <v>64</v>
      </c>
      <c r="E1090" s="3" t="s">
        <v>161</v>
      </c>
      <c r="F1090" s="3">
        <v>27</v>
      </c>
      <c r="G1090" s="3" t="s">
        <v>16</v>
      </c>
      <c r="H1090" s="3" t="s">
        <v>2190</v>
      </c>
      <c r="I1090" s="3"/>
      <c r="J1090" s="3" t="s">
        <v>17</v>
      </c>
      <c r="K1090" s="3">
        <v>46918</v>
      </c>
    </row>
    <row r="1091" spans="1:11">
      <c r="A1091" s="3" t="s">
        <v>2191</v>
      </c>
      <c r="B1091" s="3" t="s">
        <v>82</v>
      </c>
      <c r="C1091" s="3" t="s">
        <v>20</v>
      </c>
      <c r="D1091" s="3" t="s">
        <v>33</v>
      </c>
      <c r="E1091" s="3" t="s">
        <v>79</v>
      </c>
      <c r="F1091" s="3">
        <v>42</v>
      </c>
      <c r="G1091" s="3" t="s">
        <v>16</v>
      </c>
      <c r="H1091" s="3" t="s">
        <v>643</v>
      </c>
      <c r="I1091" s="3"/>
      <c r="J1091" s="3" t="s">
        <v>17</v>
      </c>
      <c r="K1091" s="3">
        <v>53338</v>
      </c>
    </row>
    <row r="1092" spans="1:11">
      <c r="A1092" s="3" t="s">
        <v>2192</v>
      </c>
      <c r="B1092" s="3" t="s">
        <v>19</v>
      </c>
      <c r="C1092" s="3" t="s">
        <v>32</v>
      </c>
      <c r="D1092" s="3" t="s">
        <v>21</v>
      </c>
      <c r="E1092" s="3" t="s">
        <v>22</v>
      </c>
      <c r="F1092" s="3">
        <v>36</v>
      </c>
      <c r="G1092" s="3" t="s">
        <v>16</v>
      </c>
      <c r="H1092" s="3" t="s">
        <v>898</v>
      </c>
      <c r="I1092" s="3"/>
      <c r="J1092" s="3" t="s">
        <v>17</v>
      </c>
      <c r="K1092" s="3">
        <v>55687</v>
      </c>
    </row>
    <row r="1093" spans="1:11">
      <c r="A1093" s="3" t="s">
        <v>2193</v>
      </c>
      <c r="B1093" s="3" t="s">
        <v>102</v>
      </c>
      <c r="C1093" s="3" t="s">
        <v>59</v>
      </c>
      <c r="D1093" s="3" t="s">
        <v>64</v>
      </c>
      <c r="E1093" s="3" t="s">
        <v>266</v>
      </c>
      <c r="F1093" s="3">
        <v>28</v>
      </c>
      <c r="G1093" s="3" t="s">
        <v>23</v>
      </c>
      <c r="H1093" s="3" t="s">
        <v>563</v>
      </c>
      <c r="I1093" s="3" t="s">
        <v>2194</v>
      </c>
      <c r="J1093" s="3" t="s">
        <v>51</v>
      </c>
      <c r="K1093" s="3">
        <v>48405</v>
      </c>
    </row>
    <row r="1094" spans="1:11">
      <c r="A1094" s="3" t="s">
        <v>2195</v>
      </c>
      <c r="B1094" s="3" t="s">
        <v>238</v>
      </c>
      <c r="C1094" s="3" t="s">
        <v>69</v>
      </c>
      <c r="D1094" s="3" t="s">
        <v>27</v>
      </c>
      <c r="E1094" s="3" t="s">
        <v>54</v>
      </c>
      <c r="F1094" s="3">
        <v>43</v>
      </c>
      <c r="G1094" s="3" t="s">
        <v>16</v>
      </c>
      <c r="H1094" s="3" t="s">
        <v>2196</v>
      </c>
      <c r="I1094" s="3"/>
      <c r="J1094" s="3" t="s">
        <v>17</v>
      </c>
      <c r="K1094" s="3">
        <v>57571</v>
      </c>
    </row>
    <row r="1095" spans="1:11">
      <c r="A1095" s="3" t="s">
        <v>2197</v>
      </c>
      <c r="B1095" s="3" t="s">
        <v>93</v>
      </c>
      <c r="C1095" s="3" t="s">
        <v>74</v>
      </c>
      <c r="D1095" s="3" t="s">
        <v>43</v>
      </c>
      <c r="E1095" s="3" t="s">
        <v>48</v>
      </c>
      <c r="F1095" s="3">
        <v>52</v>
      </c>
      <c r="G1095" s="3" t="s">
        <v>16</v>
      </c>
      <c r="H1095" s="3" t="s">
        <v>1814</v>
      </c>
      <c r="I1095" s="3"/>
      <c r="J1095" s="3" t="s">
        <v>17</v>
      </c>
      <c r="K1095" s="3">
        <v>64538</v>
      </c>
    </row>
    <row r="1096" spans="1:11">
      <c r="A1096" s="3" t="s">
        <v>2198</v>
      </c>
      <c r="B1096" s="3" t="s">
        <v>47</v>
      </c>
      <c r="C1096" s="3" t="s">
        <v>32</v>
      </c>
      <c r="D1096" s="3" t="s">
        <v>43</v>
      </c>
      <c r="E1096" s="3" t="s">
        <v>70</v>
      </c>
      <c r="F1096" s="3">
        <v>21</v>
      </c>
      <c r="G1096" s="3" t="s">
        <v>16</v>
      </c>
      <c r="H1096" s="3" t="s">
        <v>2199</v>
      </c>
      <c r="I1096" s="3"/>
      <c r="J1096" s="3" t="s">
        <v>17</v>
      </c>
      <c r="K1096" s="3">
        <v>66591</v>
      </c>
    </row>
    <row r="1097" spans="1:11">
      <c r="A1097" s="3" t="s">
        <v>2200</v>
      </c>
      <c r="B1097" s="3" t="s">
        <v>12</v>
      </c>
      <c r="C1097" s="3" t="s">
        <v>164</v>
      </c>
      <c r="D1097" s="3" t="s">
        <v>64</v>
      </c>
      <c r="E1097" s="3" t="s">
        <v>161</v>
      </c>
      <c r="F1097" s="3">
        <v>25</v>
      </c>
      <c r="G1097" s="3" t="s">
        <v>16</v>
      </c>
      <c r="H1097" s="3" t="s">
        <v>2060</v>
      </c>
      <c r="I1097" s="3"/>
      <c r="J1097" s="3" t="s">
        <v>17</v>
      </c>
      <c r="K1097" s="3">
        <v>48268</v>
      </c>
    </row>
    <row r="1098" spans="1:11">
      <c r="A1098" s="3" t="s">
        <v>2201</v>
      </c>
      <c r="B1098" s="3" t="s">
        <v>401</v>
      </c>
      <c r="C1098" s="3" t="s">
        <v>53</v>
      </c>
      <c r="D1098" s="3" t="s">
        <v>43</v>
      </c>
      <c r="E1098" s="3" t="s">
        <v>48</v>
      </c>
      <c r="F1098" s="3">
        <v>44</v>
      </c>
      <c r="G1098" s="3" t="s">
        <v>16</v>
      </c>
      <c r="H1098" s="4">
        <v>45927</v>
      </c>
      <c r="I1098" s="3"/>
      <c r="J1098" s="3" t="s">
        <v>17</v>
      </c>
      <c r="K1098" s="3">
        <v>74485</v>
      </c>
    </row>
    <row r="1099" spans="1:11">
      <c r="A1099" s="3" t="s">
        <v>2202</v>
      </c>
      <c r="B1099" s="3" t="s">
        <v>252</v>
      </c>
      <c r="C1099" s="3" t="s">
        <v>169</v>
      </c>
      <c r="D1099" s="3" t="s">
        <v>43</v>
      </c>
      <c r="E1099" s="3" t="s">
        <v>70</v>
      </c>
      <c r="F1099" s="3">
        <v>37</v>
      </c>
      <c r="G1099" s="3" t="s">
        <v>16</v>
      </c>
      <c r="H1099" s="3" t="s">
        <v>2203</v>
      </c>
      <c r="I1099" s="3"/>
      <c r="J1099" s="3" t="s">
        <v>17</v>
      </c>
      <c r="K1099" s="3">
        <v>41047</v>
      </c>
    </row>
    <row r="1100" spans="1:11">
      <c r="A1100" s="3" t="s">
        <v>2204</v>
      </c>
      <c r="B1100" s="3" t="s">
        <v>12</v>
      </c>
      <c r="C1100" s="3" t="s">
        <v>135</v>
      </c>
      <c r="D1100" s="3" t="s">
        <v>21</v>
      </c>
      <c r="E1100" s="3" t="s">
        <v>95</v>
      </c>
      <c r="F1100">
        <v>32</v>
      </c>
      <c r="G1100" s="3" t="s">
        <v>23</v>
      </c>
      <c r="H1100" s="3" t="s">
        <v>2205</v>
      </c>
      <c r="I1100" s="3"/>
      <c r="J1100" s="3" t="s">
        <v>17</v>
      </c>
      <c r="K1100" s="3">
        <v>85633</v>
      </c>
    </row>
    <row r="1101" spans="1:11">
      <c r="A1101" s="3" t="s">
        <v>2206</v>
      </c>
      <c r="B1101" s="3" t="s">
        <v>31</v>
      </c>
      <c r="C1101" s="3" t="s">
        <v>113</v>
      </c>
      <c r="D1101" s="3" t="s">
        <v>43</v>
      </c>
      <c r="E1101" s="3" t="s">
        <v>70</v>
      </c>
      <c r="F1101" s="3">
        <v>33</v>
      </c>
      <c r="G1101" s="3" t="s">
        <v>16</v>
      </c>
      <c r="H1101" s="3" t="s">
        <v>1318</v>
      </c>
      <c r="I1101" s="3"/>
      <c r="J1101" s="3" t="s">
        <v>17</v>
      </c>
      <c r="K1101" s="3">
        <v>36042</v>
      </c>
    </row>
    <row r="1102" spans="1:11">
      <c r="A1102" s="3" t="s">
        <v>2207</v>
      </c>
      <c r="B1102" s="3" t="s">
        <v>125</v>
      </c>
      <c r="C1102" s="3" t="s">
        <v>113</v>
      </c>
      <c r="D1102" s="3" t="s">
        <v>43</v>
      </c>
      <c r="E1102" s="3" t="s">
        <v>48</v>
      </c>
      <c r="F1102" s="3">
        <v>21</v>
      </c>
      <c r="G1102" s="3" t="s">
        <v>23</v>
      </c>
      <c r="H1102" s="3" t="s">
        <v>2208</v>
      </c>
      <c r="I1102" s="3"/>
      <c r="J1102" s="3" t="s">
        <v>17</v>
      </c>
      <c r="K1102" s="3">
        <v>43250</v>
      </c>
    </row>
    <row r="1103" spans="1:11">
      <c r="A1103" s="3" t="s">
        <v>2209</v>
      </c>
      <c r="B1103" s="3" t="s">
        <v>263</v>
      </c>
      <c r="C1103" s="3" t="s">
        <v>164</v>
      </c>
      <c r="D1103" s="3" t="s">
        <v>43</v>
      </c>
      <c r="E1103" s="3" t="s">
        <v>48</v>
      </c>
      <c r="F1103" s="3">
        <v>34</v>
      </c>
      <c r="G1103" s="3" t="s">
        <v>23</v>
      </c>
      <c r="H1103" s="3" t="s">
        <v>2210</v>
      </c>
      <c r="I1103" s="3"/>
      <c r="J1103" s="3" t="s">
        <v>17</v>
      </c>
      <c r="K1103" s="3">
        <v>52873</v>
      </c>
    </row>
    <row r="1104" spans="1:11">
      <c r="A1104" s="3" t="s">
        <v>2211</v>
      </c>
      <c r="B1104" s="3" t="s">
        <v>106</v>
      </c>
      <c r="C1104" s="3" t="s">
        <v>94</v>
      </c>
      <c r="D1104" s="3" t="s">
        <v>43</v>
      </c>
      <c r="E1104" s="3" t="s">
        <v>48</v>
      </c>
      <c r="F1104" s="3"/>
      <c r="G1104" s="3" t="s">
        <v>16</v>
      </c>
      <c r="H1104" s="3" t="s">
        <v>2212</v>
      </c>
      <c r="I1104" s="3"/>
      <c r="J1104" s="3" t="s">
        <v>17</v>
      </c>
      <c r="K1104" s="3">
        <v>72898</v>
      </c>
    </row>
    <row r="1105" spans="1:11">
      <c r="A1105" s="3" t="s">
        <v>2213</v>
      </c>
      <c r="B1105" s="3" t="s">
        <v>86</v>
      </c>
      <c r="C1105" s="3" t="s">
        <v>205</v>
      </c>
      <c r="D1105" s="3" t="s">
        <v>21</v>
      </c>
      <c r="E1105" s="3" t="s">
        <v>87</v>
      </c>
      <c r="F1105" s="3">
        <v>40</v>
      </c>
      <c r="G1105" s="3" t="s">
        <v>16</v>
      </c>
      <c r="H1105" s="3" t="s">
        <v>2214</v>
      </c>
      <c r="I1105" s="3"/>
      <c r="J1105" s="3" t="s">
        <v>17</v>
      </c>
      <c r="K1105" s="3">
        <v>59502</v>
      </c>
    </row>
    <row r="1106" spans="1:11">
      <c r="A1106" s="3" t="s">
        <v>2215</v>
      </c>
      <c r="B1106" s="3" t="s">
        <v>78</v>
      </c>
      <c r="C1106" s="3" t="s">
        <v>129</v>
      </c>
      <c r="D1106" s="3" t="s">
        <v>43</v>
      </c>
      <c r="E1106" s="3" t="s">
        <v>48</v>
      </c>
      <c r="F1106" s="3">
        <v>34</v>
      </c>
      <c r="G1106" s="3" t="s">
        <v>23</v>
      </c>
      <c r="H1106" s="3" t="s">
        <v>641</v>
      </c>
      <c r="I1106" s="3"/>
      <c r="J1106" s="3" t="s">
        <v>17</v>
      </c>
      <c r="K1106" s="3">
        <v>34501</v>
      </c>
    </row>
    <row r="1107" spans="1:11">
      <c r="A1107" s="3" t="s">
        <v>2216</v>
      </c>
      <c r="B1107" s="3" t="s">
        <v>68</v>
      </c>
      <c r="C1107" s="3" t="s">
        <v>74</v>
      </c>
      <c r="D1107" s="3" t="s">
        <v>43</v>
      </c>
      <c r="E1107" s="3" t="s">
        <v>70</v>
      </c>
      <c r="F1107" s="3">
        <v>30</v>
      </c>
      <c r="G1107" s="3" t="s">
        <v>23</v>
      </c>
      <c r="H1107" s="3" t="s">
        <v>2217</v>
      </c>
      <c r="I1107" s="3"/>
      <c r="J1107" s="3" t="s">
        <v>17</v>
      </c>
      <c r="K1107" s="3">
        <v>62887</v>
      </c>
    </row>
    <row r="1108" spans="1:11">
      <c r="A1108" s="3" t="s">
        <v>2218</v>
      </c>
      <c r="B1108" s="3" t="s">
        <v>128</v>
      </c>
      <c r="C1108" s="3" t="s">
        <v>146</v>
      </c>
      <c r="D1108" s="3" t="s">
        <v>21</v>
      </c>
      <c r="E1108" s="3" t="s">
        <v>22</v>
      </c>
      <c r="F1108" s="3">
        <v>32</v>
      </c>
      <c r="G1108" s="3" t="s">
        <v>23</v>
      </c>
      <c r="H1108" s="3" t="s">
        <v>2219</v>
      </c>
      <c r="I1108" s="3"/>
      <c r="J1108" s="3" t="s">
        <v>17</v>
      </c>
      <c r="K1108" s="3">
        <v>99192</v>
      </c>
    </row>
    <row r="1109" spans="1:11">
      <c r="A1109" s="3" t="s">
        <v>2220</v>
      </c>
      <c r="B1109" s="3" t="s">
        <v>223</v>
      </c>
      <c r="C1109" s="3" t="s">
        <v>249</v>
      </c>
      <c r="D1109" s="3" t="s">
        <v>21</v>
      </c>
      <c r="E1109" s="3" t="s">
        <v>155</v>
      </c>
      <c r="F1109" s="3">
        <v>35</v>
      </c>
      <c r="G1109" s="3" t="s">
        <v>23</v>
      </c>
      <c r="H1109" s="3" t="s">
        <v>351</v>
      </c>
      <c r="I1109" s="3"/>
      <c r="J1109" s="3" t="s">
        <v>17</v>
      </c>
      <c r="K1109" s="3">
        <v>49912</v>
      </c>
    </row>
    <row r="1110" spans="1:11">
      <c r="A1110" s="3" t="s">
        <v>2221</v>
      </c>
      <c r="B1110" s="3" t="s">
        <v>78</v>
      </c>
      <c r="C1110" s="3" t="s">
        <v>146</v>
      </c>
      <c r="D1110" s="3" t="s">
        <v>21</v>
      </c>
      <c r="E1110" s="3" t="s">
        <v>95</v>
      </c>
      <c r="F1110" s="3">
        <v>36</v>
      </c>
      <c r="G1110" s="3" t="s">
        <v>23</v>
      </c>
      <c r="H1110" s="3" t="s">
        <v>2222</v>
      </c>
      <c r="I1110" s="3" t="s">
        <v>2223</v>
      </c>
      <c r="J1110" s="3" t="s">
        <v>51</v>
      </c>
      <c r="K1110" s="3">
        <v>73720</v>
      </c>
    </row>
    <row r="1111" spans="1:11">
      <c r="A1111" s="3" t="s">
        <v>2224</v>
      </c>
      <c r="B1111" s="3" t="s">
        <v>223</v>
      </c>
      <c r="C1111" s="3" t="s">
        <v>249</v>
      </c>
      <c r="D1111" s="3" t="s">
        <v>33</v>
      </c>
      <c r="E1111" s="3" t="s">
        <v>79</v>
      </c>
      <c r="F1111" s="3">
        <v>21</v>
      </c>
      <c r="G1111" s="3" t="s">
        <v>16</v>
      </c>
      <c r="H1111" s="3" t="s">
        <v>322</v>
      </c>
      <c r="I1111" s="3"/>
      <c r="J1111" s="3" t="s">
        <v>17</v>
      </c>
      <c r="K1111" s="3">
        <v>88202</v>
      </c>
    </row>
    <row r="1112" spans="1:11">
      <c r="A1112" s="3" t="s">
        <v>2225</v>
      </c>
      <c r="B1112" s="3" t="s">
        <v>238</v>
      </c>
      <c r="C1112" s="3" t="s">
        <v>249</v>
      </c>
      <c r="D1112" s="3" t="s">
        <v>33</v>
      </c>
      <c r="E1112" s="3" t="s">
        <v>34</v>
      </c>
      <c r="F1112" s="3">
        <v>37</v>
      </c>
      <c r="G1112" s="3" t="s">
        <v>16</v>
      </c>
      <c r="H1112" s="3" t="s">
        <v>2226</v>
      </c>
      <c r="I1112" s="3"/>
      <c r="J1112" s="3" t="s">
        <v>17</v>
      </c>
      <c r="K1112" s="3">
        <v>63010</v>
      </c>
    </row>
    <row r="1113" spans="1:11">
      <c r="A1113" s="3" t="s">
        <v>2227</v>
      </c>
      <c r="B1113" s="3" t="s">
        <v>98</v>
      </c>
      <c r="C1113" s="3" t="s">
        <v>38</v>
      </c>
      <c r="D1113" s="3" t="s">
        <v>14</v>
      </c>
      <c r="E1113" s="3" t="s">
        <v>75</v>
      </c>
      <c r="F1113" s="3">
        <v>21</v>
      </c>
      <c r="G1113" s="3" t="s">
        <v>23</v>
      </c>
      <c r="H1113" s="3" t="s">
        <v>1938</v>
      </c>
      <c r="I1113" s="3"/>
      <c r="J1113" s="3" t="s">
        <v>17</v>
      </c>
      <c r="K1113" s="3">
        <v>77597</v>
      </c>
    </row>
    <row r="1114" spans="1:11">
      <c r="A1114" s="3" t="s">
        <v>2228</v>
      </c>
      <c r="B1114" s="3" t="s">
        <v>37</v>
      </c>
      <c r="C1114" s="3" t="s">
        <v>32</v>
      </c>
      <c r="D1114" s="3" t="s">
        <v>21</v>
      </c>
      <c r="E1114" s="3" t="s">
        <v>22</v>
      </c>
      <c r="F1114" s="3">
        <v>21</v>
      </c>
      <c r="G1114" s="3" t="s">
        <v>23</v>
      </c>
      <c r="H1114" s="3" t="s">
        <v>2229</v>
      </c>
      <c r="I1114" s="3"/>
      <c r="J1114" s="3" t="s">
        <v>17</v>
      </c>
      <c r="K1114" s="3">
        <v>18000</v>
      </c>
    </row>
    <row r="1115" spans="1:11">
      <c r="A1115" s="3" t="s">
        <v>2230</v>
      </c>
      <c r="B1115" s="3" t="s">
        <v>93</v>
      </c>
      <c r="C1115" s="3" t="s">
        <v>69</v>
      </c>
      <c r="D1115" s="3" t="s">
        <v>21</v>
      </c>
      <c r="E1115" s="3" t="s">
        <v>87</v>
      </c>
      <c r="F1115" s="3">
        <v>22</v>
      </c>
      <c r="G1115" s="3" t="s">
        <v>16</v>
      </c>
      <c r="H1115" s="3" t="s">
        <v>1249</v>
      </c>
      <c r="I1115" s="3"/>
      <c r="J1115" s="3" t="s">
        <v>17</v>
      </c>
      <c r="K1115" s="3">
        <v>75464</v>
      </c>
    </row>
    <row r="1116" spans="1:11">
      <c r="A1116" s="3" t="s">
        <v>2231</v>
      </c>
      <c r="B1116" s="3" t="s">
        <v>141</v>
      </c>
      <c r="C1116" s="3" t="s">
        <v>20</v>
      </c>
      <c r="D1116" s="3" t="s">
        <v>33</v>
      </c>
      <c r="E1116" s="3" t="s">
        <v>79</v>
      </c>
      <c r="F1116" s="3">
        <v>40</v>
      </c>
      <c r="G1116" s="3" t="s">
        <v>16</v>
      </c>
      <c r="H1116" s="3" t="s">
        <v>319</v>
      </c>
      <c r="I1116" s="3"/>
      <c r="J1116" s="3" t="s">
        <v>17</v>
      </c>
      <c r="K1116" s="3">
        <v>34460</v>
      </c>
    </row>
    <row r="1117" spans="1:11">
      <c r="A1117" s="3" t="s">
        <v>2232</v>
      </c>
      <c r="B1117" s="3" t="s">
        <v>121</v>
      </c>
      <c r="C1117" s="3" t="s">
        <v>135</v>
      </c>
      <c r="D1117" s="3" t="s">
        <v>21</v>
      </c>
      <c r="E1117" s="3" t="s">
        <v>87</v>
      </c>
      <c r="F1117" s="3">
        <v>21</v>
      </c>
      <c r="G1117" s="3" t="s">
        <v>16</v>
      </c>
      <c r="H1117" s="3" t="s">
        <v>957</v>
      </c>
      <c r="I1117" s="3"/>
      <c r="J1117" s="3" t="s">
        <v>17</v>
      </c>
      <c r="K1117" s="3">
        <v>53725</v>
      </c>
    </row>
    <row r="1118" spans="1:11">
      <c r="A1118" s="3" t="s">
        <v>2233</v>
      </c>
      <c r="B1118" s="3" t="s">
        <v>112</v>
      </c>
      <c r="C1118" s="3" t="s">
        <v>103</v>
      </c>
      <c r="D1118" s="3" t="s">
        <v>33</v>
      </c>
      <c r="E1118" s="3" t="s">
        <v>34</v>
      </c>
      <c r="F1118" s="3">
        <v>27</v>
      </c>
      <c r="G1118" s="3" t="s">
        <v>23</v>
      </c>
      <c r="H1118" s="3" t="s">
        <v>2234</v>
      </c>
      <c r="I1118" s="3"/>
      <c r="J1118" s="3" t="s">
        <v>17</v>
      </c>
      <c r="K1118" s="3">
        <v>65480</v>
      </c>
    </row>
    <row r="1119" spans="1:11">
      <c r="A1119" s="3" t="s">
        <v>2235</v>
      </c>
      <c r="B1119" s="3" t="s">
        <v>68</v>
      </c>
      <c r="C1119" s="3" t="s">
        <v>26</v>
      </c>
      <c r="D1119" s="3" t="s">
        <v>33</v>
      </c>
      <c r="E1119" s="3" t="s">
        <v>34</v>
      </c>
      <c r="F1119" s="3">
        <v>34</v>
      </c>
      <c r="G1119" s="3" t="s">
        <v>23</v>
      </c>
      <c r="H1119" s="3" t="s">
        <v>2236</v>
      </c>
      <c r="I1119" s="3"/>
      <c r="J1119" s="3" t="s">
        <v>17</v>
      </c>
      <c r="K1119" s="3">
        <v>44748</v>
      </c>
    </row>
    <row r="1120" spans="1:11">
      <c r="A1120" s="3" t="s">
        <v>2237</v>
      </c>
      <c r="B1120" s="3" t="s">
        <v>125</v>
      </c>
      <c r="C1120" s="3" t="s">
        <v>164</v>
      </c>
      <c r="D1120" s="3" t="s">
        <v>21</v>
      </c>
      <c r="E1120" s="3" t="s">
        <v>95</v>
      </c>
      <c r="F1120" s="3">
        <v>35</v>
      </c>
      <c r="G1120" s="3" t="s">
        <v>23</v>
      </c>
      <c r="H1120" s="3" t="s">
        <v>2238</v>
      </c>
      <c r="I1120" s="3"/>
      <c r="J1120" s="3" t="s">
        <v>17</v>
      </c>
      <c r="K1120" s="3">
        <v>68258</v>
      </c>
    </row>
    <row r="1121" spans="1:11">
      <c r="A1121" s="3" t="s">
        <v>2239</v>
      </c>
      <c r="B1121" s="3" t="s">
        <v>112</v>
      </c>
      <c r="C1121" s="3" t="s">
        <v>42</v>
      </c>
      <c r="D1121" s="3" t="s">
        <v>14</v>
      </c>
      <c r="E1121" s="3" t="s">
        <v>15</v>
      </c>
      <c r="F1121" s="3">
        <v>38</v>
      </c>
      <c r="G1121" s="3" t="s">
        <v>16</v>
      </c>
      <c r="H1121" s="3" t="s">
        <v>2240</v>
      </c>
      <c r="I1121" s="3"/>
      <c r="J1121" s="3" t="s">
        <v>17</v>
      </c>
      <c r="K1121" s="3">
        <v>37022</v>
      </c>
    </row>
    <row r="1122" spans="1:11">
      <c r="A1122" s="3" t="s">
        <v>2241</v>
      </c>
      <c r="B1122" s="3" t="s">
        <v>82</v>
      </c>
      <c r="C1122" s="3" t="s">
        <v>69</v>
      </c>
      <c r="D1122" s="3" t="s">
        <v>21</v>
      </c>
      <c r="E1122" s="3" t="s">
        <v>22</v>
      </c>
      <c r="F1122" s="3">
        <v>41</v>
      </c>
      <c r="G1122" s="3" t="s">
        <v>16</v>
      </c>
      <c r="H1122" s="3" t="s">
        <v>2242</v>
      </c>
      <c r="I1122" s="3"/>
      <c r="J1122" s="3" t="s">
        <v>17</v>
      </c>
      <c r="K1122" s="3">
        <v>56140</v>
      </c>
    </row>
    <row r="1123" spans="1:11">
      <c r="A1123" s="3" t="s">
        <v>2243</v>
      </c>
      <c r="B1123" s="3" t="s">
        <v>86</v>
      </c>
      <c r="C1123" s="3" t="s">
        <v>42</v>
      </c>
      <c r="D1123" s="3" t="s">
        <v>27</v>
      </c>
      <c r="E1123" s="3" t="s">
        <v>28</v>
      </c>
      <c r="F1123" s="3">
        <v>29</v>
      </c>
      <c r="G1123" s="3" t="s">
        <v>16</v>
      </c>
      <c r="H1123" s="3" t="s">
        <v>2244</v>
      </c>
      <c r="I1123" s="3"/>
      <c r="J1123" s="3" t="s">
        <v>17</v>
      </c>
      <c r="K1123" s="3">
        <v>32418</v>
      </c>
    </row>
    <row r="1124" spans="1:11">
      <c r="A1124" s="3" t="s">
        <v>2245</v>
      </c>
      <c r="B1124" s="3" t="s">
        <v>25</v>
      </c>
      <c r="C1124" s="3" t="s">
        <v>20</v>
      </c>
      <c r="D1124" s="3" t="s">
        <v>64</v>
      </c>
      <c r="E1124" s="3" t="s">
        <v>266</v>
      </c>
      <c r="F1124" s="3">
        <v>40</v>
      </c>
      <c r="G1124" s="3" t="s">
        <v>16</v>
      </c>
      <c r="H1124" s="3" t="s">
        <v>1950</v>
      </c>
      <c r="I1124" s="3"/>
      <c r="J1124" s="3" t="s">
        <v>17</v>
      </c>
      <c r="K1124" s="3">
        <v>46568</v>
      </c>
    </row>
    <row r="1125" spans="1:11">
      <c r="A1125" s="3" t="s">
        <v>2246</v>
      </c>
      <c r="B1125" s="3" t="s">
        <v>238</v>
      </c>
      <c r="C1125" s="3" t="s">
        <v>59</v>
      </c>
      <c r="D1125" s="3" t="s">
        <v>43</v>
      </c>
      <c r="E1125" s="3" t="s">
        <v>70</v>
      </c>
      <c r="F1125" s="3">
        <v>33</v>
      </c>
      <c r="G1125" s="3" t="s">
        <v>16</v>
      </c>
      <c r="H1125" s="3" t="s">
        <v>180</v>
      </c>
      <c r="I1125" s="3"/>
      <c r="J1125" s="3" t="s">
        <v>17</v>
      </c>
      <c r="K1125" s="3">
        <v>74906</v>
      </c>
    </row>
    <row r="1126" spans="1:11">
      <c r="A1126" s="3" t="s">
        <v>2247</v>
      </c>
      <c r="B1126" s="3" t="s">
        <v>125</v>
      </c>
      <c r="C1126" s="3" t="s">
        <v>213</v>
      </c>
      <c r="D1126" s="3" t="s">
        <v>1389</v>
      </c>
      <c r="E1126" s="3" t="s">
        <v>75</v>
      </c>
      <c r="F1126" s="3">
        <v>43</v>
      </c>
      <c r="G1126" s="3" t="s">
        <v>16</v>
      </c>
      <c r="H1126" s="3" t="s">
        <v>2248</v>
      </c>
      <c r="I1126" s="3" t="s">
        <v>2249</v>
      </c>
      <c r="J1126" s="3" t="s">
        <v>51</v>
      </c>
      <c r="K1126" s="3">
        <v>50502</v>
      </c>
    </row>
    <row r="1127" spans="1:11">
      <c r="A1127" s="3" t="s">
        <v>2250</v>
      </c>
      <c r="B1127" s="3" t="s">
        <v>186</v>
      </c>
      <c r="C1127" s="3" t="s">
        <v>135</v>
      </c>
      <c r="D1127" s="3" t="s">
        <v>33</v>
      </c>
      <c r="E1127" s="3" t="s">
        <v>34</v>
      </c>
      <c r="F1127" s="3">
        <v>37</v>
      </c>
      <c r="G1127" s="3" t="s">
        <v>16</v>
      </c>
      <c r="H1127" s="3" t="s">
        <v>2251</v>
      </c>
      <c r="I1127" s="3"/>
      <c r="J1127" s="3" t="s">
        <v>17</v>
      </c>
      <c r="K1127" s="3">
        <v>67967</v>
      </c>
    </row>
    <row r="1128" spans="1:11">
      <c r="A1128" s="3" t="s">
        <v>2252</v>
      </c>
      <c r="B1128" s="3" t="s">
        <v>98</v>
      </c>
      <c r="C1128" s="3" t="s">
        <v>135</v>
      </c>
      <c r="D1128" s="3" t="s">
        <v>64</v>
      </c>
      <c r="E1128" s="3" t="s">
        <v>266</v>
      </c>
      <c r="F1128" s="3">
        <v>21</v>
      </c>
      <c r="G1128" s="3" t="s">
        <v>23</v>
      </c>
      <c r="H1128" s="3" t="s">
        <v>492</v>
      </c>
      <c r="I1128" s="3" t="s">
        <v>2253</v>
      </c>
      <c r="J1128" s="3" t="s">
        <v>51</v>
      </c>
      <c r="K1128" s="3">
        <v>44662</v>
      </c>
    </row>
    <row r="1129" spans="1:11">
      <c r="A1129" s="3" t="s">
        <v>2254</v>
      </c>
      <c r="B1129" s="3" t="s">
        <v>82</v>
      </c>
      <c r="C1129" s="3" t="s">
        <v>20</v>
      </c>
      <c r="D1129" s="3" t="s">
        <v>33</v>
      </c>
      <c r="E1129" s="3" t="s">
        <v>34</v>
      </c>
      <c r="F1129" s="3">
        <v>37</v>
      </c>
      <c r="G1129" s="3" t="s">
        <v>16</v>
      </c>
      <c r="H1129" s="3" t="s">
        <v>2255</v>
      </c>
      <c r="I1129" s="3"/>
      <c r="J1129" s="3" t="s">
        <v>17</v>
      </c>
      <c r="K1129" s="3">
        <v>59534</v>
      </c>
    </row>
    <row r="1130" spans="1:11">
      <c r="A1130" s="3" t="s">
        <v>2256</v>
      </c>
      <c r="B1130" s="3" t="s">
        <v>186</v>
      </c>
      <c r="C1130" s="3" t="s">
        <v>38</v>
      </c>
      <c r="D1130" s="3" t="s">
        <v>594</v>
      </c>
      <c r="E1130" s="3" t="s">
        <v>266</v>
      </c>
      <c r="F1130" s="3">
        <v>28</v>
      </c>
      <c r="G1130" s="3" t="s">
        <v>16</v>
      </c>
      <c r="H1130" s="3" t="s">
        <v>2257</v>
      </c>
      <c r="I1130" s="3"/>
      <c r="J1130" s="3" t="s">
        <v>17</v>
      </c>
      <c r="K1130" s="3">
        <v>77495</v>
      </c>
    </row>
    <row r="1131" spans="1:11">
      <c r="A1131" s="3" t="s">
        <v>2258</v>
      </c>
      <c r="B1131" s="3" t="s">
        <v>298</v>
      </c>
      <c r="C1131" s="3" t="s">
        <v>113</v>
      </c>
      <c r="D1131" s="3" t="s">
        <v>21</v>
      </c>
      <c r="E1131" s="3" t="s">
        <v>95</v>
      </c>
      <c r="F1131" s="3">
        <v>38</v>
      </c>
      <c r="G1131" s="3" t="s">
        <v>23</v>
      </c>
      <c r="H1131" s="4">
        <v>45407</v>
      </c>
      <c r="I1131" s="3"/>
      <c r="J1131" s="3" t="s">
        <v>17</v>
      </c>
      <c r="K1131" s="3">
        <v>84727</v>
      </c>
    </row>
    <row r="1132" spans="1:11">
      <c r="A1132" s="3" t="s">
        <v>2259</v>
      </c>
      <c r="B1132" s="3" t="s">
        <v>263</v>
      </c>
      <c r="C1132" s="3" t="s">
        <v>169</v>
      </c>
      <c r="D1132" s="3" t="s">
        <v>43</v>
      </c>
      <c r="E1132" s="3" t="s">
        <v>48</v>
      </c>
      <c r="F1132" s="3">
        <v>37</v>
      </c>
      <c r="G1132" s="3" t="s">
        <v>16</v>
      </c>
      <c r="H1132" s="3" t="s">
        <v>2260</v>
      </c>
      <c r="I1132" s="3"/>
      <c r="J1132" s="3" t="s">
        <v>17</v>
      </c>
      <c r="K1132" s="3">
        <v>27664</v>
      </c>
    </row>
    <row r="1133" spans="1:11">
      <c r="A1133" s="3" t="s">
        <v>2261</v>
      </c>
      <c r="B1133" s="3" t="s">
        <v>62</v>
      </c>
      <c r="C1133" s="3" t="s">
        <v>169</v>
      </c>
      <c r="D1133" s="3" t="s">
        <v>64</v>
      </c>
      <c r="E1133" s="3" t="s">
        <v>65</v>
      </c>
      <c r="F1133" s="3">
        <v>33</v>
      </c>
      <c r="G1133" s="3" t="s">
        <v>23</v>
      </c>
      <c r="H1133" s="3" t="s">
        <v>885</v>
      </c>
      <c r="I1133" s="3" t="s">
        <v>1127</v>
      </c>
      <c r="J1133" s="3" t="s">
        <v>51</v>
      </c>
      <c r="K1133" s="3">
        <v>68626</v>
      </c>
    </row>
    <row r="1134" spans="1:11">
      <c r="A1134" s="3" t="s">
        <v>2262</v>
      </c>
      <c r="B1134" s="3" t="s">
        <v>90</v>
      </c>
      <c r="C1134" s="3" t="s">
        <v>135</v>
      </c>
      <c r="D1134" s="3" t="s">
        <v>64</v>
      </c>
      <c r="E1134" s="3" t="s">
        <v>65</v>
      </c>
      <c r="F1134" s="3">
        <v>37</v>
      </c>
      <c r="G1134" s="3" t="s">
        <v>23</v>
      </c>
      <c r="H1134" s="3" t="s">
        <v>2263</v>
      </c>
      <c r="I1134" s="3"/>
      <c r="J1134" s="3" t="s">
        <v>17</v>
      </c>
      <c r="K1134" s="3">
        <v>48797</v>
      </c>
    </row>
    <row r="1135" spans="1:11">
      <c r="A1135" s="3" t="s">
        <v>792</v>
      </c>
      <c r="B1135" s="3" t="s">
        <v>125</v>
      </c>
      <c r="C1135" s="3" t="s">
        <v>74</v>
      </c>
      <c r="D1135" s="3" t="s">
        <v>21</v>
      </c>
      <c r="E1135" s="3" t="s">
        <v>155</v>
      </c>
      <c r="F1135" s="3">
        <v>38</v>
      </c>
      <c r="G1135" s="3" t="s">
        <v>16</v>
      </c>
      <c r="H1135" s="3" t="s">
        <v>793</v>
      </c>
      <c r="I1135" s="3" t="s">
        <v>794</v>
      </c>
      <c r="J1135" s="3" t="s">
        <v>51</v>
      </c>
      <c r="K1135" s="3">
        <v>82397</v>
      </c>
    </row>
    <row r="1136" spans="1:11">
      <c r="A1136" s="3" t="s">
        <v>2264</v>
      </c>
      <c r="B1136" s="3" t="s">
        <v>25</v>
      </c>
      <c r="C1136" s="3" t="s">
        <v>113</v>
      </c>
      <c r="D1136" s="3" t="s">
        <v>21</v>
      </c>
      <c r="E1136" s="3" t="s">
        <v>95</v>
      </c>
      <c r="F1136" s="3">
        <v>21</v>
      </c>
      <c r="G1136" s="3" t="s">
        <v>16</v>
      </c>
      <c r="H1136" s="3" t="s">
        <v>2265</v>
      </c>
      <c r="I1136" s="3"/>
      <c r="J1136" s="3" t="s">
        <v>17</v>
      </c>
      <c r="K1136" s="3">
        <v>36094</v>
      </c>
    </row>
    <row r="1137" spans="1:11">
      <c r="A1137" s="3" t="s">
        <v>2266</v>
      </c>
      <c r="B1137" s="3" t="s">
        <v>134</v>
      </c>
      <c r="C1137" s="3" t="s">
        <v>26</v>
      </c>
      <c r="D1137" s="3" t="s">
        <v>43</v>
      </c>
      <c r="E1137" s="3" t="s">
        <v>70</v>
      </c>
      <c r="F1137" s="3">
        <v>43</v>
      </c>
      <c r="G1137" s="3" t="s">
        <v>16</v>
      </c>
      <c r="H1137" s="3" t="s">
        <v>2267</v>
      </c>
      <c r="I1137" s="3"/>
      <c r="J1137" s="3" t="s">
        <v>17</v>
      </c>
      <c r="K1137" s="3">
        <v>75672</v>
      </c>
    </row>
    <row r="1138" spans="1:11">
      <c r="A1138" s="3" t="s">
        <v>2268</v>
      </c>
      <c r="B1138" s="3" t="s">
        <v>223</v>
      </c>
      <c r="C1138" s="3" t="s">
        <v>129</v>
      </c>
      <c r="D1138" s="3" t="s">
        <v>43</v>
      </c>
      <c r="E1138" s="3" t="s">
        <v>48</v>
      </c>
      <c r="F1138" s="3">
        <v>25</v>
      </c>
      <c r="G1138" s="3" t="s">
        <v>23</v>
      </c>
      <c r="H1138" s="3" t="s">
        <v>2269</v>
      </c>
      <c r="I1138" s="3" t="s">
        <v>2270</v>
      </c>
      <c r="J1138" s="3" t="s">
        <v>51</v>
      </c>
      <c r="K1138" s="3">
        <v>64124</v>
      </c>
    </row>
    <row r="1139" spans="1:11">
      <c r="A1139" s="3" t="s">
        <v>2271</v>
      </c>
      <c r="B1139" s="3" t="s">
        <v>25</v>
      </c>
      <c r="C1139" s="3" t="s">
        <v>177</v>
      </c>
      <c r="D1139" s="3" t="s">
        <v>27</v>
      </c>
      <c r="E1139" s="3" t="s">
        <v>122</v>
      </c>
      <c r="F1139">
        <v>32</v>
      </c>
      <c r="G1139" s="3" t="s">
        <v>23</v>
      </c>
      <c r="H1139" s="3" t="s">
        <v>2036</v>
      </c>
      <c r="I1139" s="3"/>
      <c r="J1139" s="3" t="s">
        <v>17</v>
      </c>
      <c r="K1139" s="3">
        <v>27344</v>
      </c>
    </row>
    <row r="1140" spans="1:11">
      <c r="A1140" s="3" t="s">
        <v>2272</v>
      </c>
      <c r="B1140" s="3" t="s">
        <v>186</v>
      </c>
      <c r="C1140" s="3" t="s">
        <v>174</v>
      </c>
      <c r="D1140" s="3" t="s">
        <v>27</v>
      </c>
      <c r="E1140" s="3" t="s">
        <v>122</v>
      </c>
      <c r="F1140" s="3">
        <v>33</v>
      </c>
      <c r="G1140" s="3" t="s">
        <v>23</v>
      </c>
      <c r="H1140" s="4">
        <v>44394</v>
      </c>
      <c r="I1140" s="3"/>
      <c r="J1140" s="3" t="s">
        <v>17</v>
      </c>
      <c r="K1140" s="3">
        <v>52705</v>
      </c>
    </row>
    <row r="1141" spans="1:11">
      <c r="A1141" s="3" t="s">
        <v>2273</v>
      </c>
      <c r="B1141" s="3" t="s">
        <v>121</v>
      </c>
      <c r="C1141" s="3" t="s">
        <v>83</v>
      </c>
      <c r="D1141" s="3" t="s">
        <v>21</v>
      </c>
      <c r="E1141" s="3" t="s">
        <v>22</v>
      </c>
      <c r="F1141" s="3">
        <v>30</v>
      </c>
      <c r="G1141" s="3" t="s">
        <v>16</v>
      </c>
      <c r="H1141" s="3" t="s">
        <v>635</v>
      </c>
      <c r="I1141" s="3" t="s">
        <v>2274</v>
      </c>
      <c r="J1141" s="3" t="s">
        <v>51</v>
      </c>
      <c r="K1141" s="3">
        <v>53729</v>
      </c>
    </row>
    <row r="1142" spans="1:11">
      <c r="A1142" s="3" t="s">
        <v>2275</v>
      </c>
      <c r="B1142" s="3" t="s">
        <v>47</v>
      </c>
      <c r="C1142" s="3" t="s">
        <v>174</v>
      </c>
      <c r="D1142" s="3" t="s">
        <v>43</v>
      </c>
      <c r="E1142" s="3" t="s">
        <v>44</v>
      </c>
      <c r="F1142" s="3">
        <v>22</v>
      </c>
      <c r="G1142" s="3" t="s">
        <v>16</v>
      </c>
      <c r="H1142" s="3" t="s">
        <v>1316</v>
      </c>
      <c r="I1142" s="3"/>
      <c r="J1142" s="3" t="s">
        <v>17</v>
      </c>
      <c r="K1142" s="3">
        <v>57410</v>
      </c>
    </row>
    <row r="1143" spans="1:11">
      <c r="A1143" s="3" t="s">
        <v>2276</v>
      </c>
      <c r="B1143" s="3" t="s">
        <v>37</v>
      </c>
      <c r="C1143" s="3" t="s">
        <v>94</v>
      </c>
      <c r="D1143" s="3" t="s">
        <v>64</v>
      </c>
      <c r="E1143" s="3" t="s">
        <v>161</v>
      </c>
      <c r="F1143" s="3"/>
      <c r="G1143" s="3" t="s">
        <v>16</v>
      </c>
      <c r="H1143" s="3" t="s">
        <v>1650</v>
      </c>
      <c r="I1143" s="3"/>
      <c r="J1143" s="3" t="s">
        <v>17</v>
      </c>
      <c r="K1143" s="3">
        <v>45665</v>
      </c>
    </row>
    <row r="1144" spans="1:11">
      <c r="A1144" s="3" t="s">
        <v>2277</v>
      </c>
      <c r="B1144" s="3" t="s">
        <v>160</v>
      </c>
      <c r="C1144" s="3" t="s">
        <v>74</v>
      </c>
      <c r="D1144" s="3" t="s">
        <v>118</v>
      </c>
      <c r="E1144" s="3" t="s">
        <v>48</v>
      </c>
      <c r="F1144" s="3">
        <v>33</v>
      </c>
      <c r="G1144" s="3" t="s">
        <v>16</v>
      </c>
      <c r="H1144" s="3" t="s">
        <v>2278</v>
      </c>
      <c r="I1144" s="3"/>
      <c r="J1144" s="3" t="s">
        <v>17</v>
      </c>
      <c r="K1144" s="3">
        <v>64401</v>
      </c>
    </row>
    <row r="1145" spans="1:11">
      <c r="A1145" s="3" t="s">
        <v>2279</v>
      </c>
      <c r="B1145" s="3" t="s">
        <v>62</v>
      </c>
      <c r="C1145" s="3" t="s">
        <v>205</v>
      </c>
      <c r="D1145" s="3" t="s">
        <v>43</v>
      </c>
      <c r="E1145" s="3" t="s">
        <v>70</v>
      </c>
      <c r="F1145" s="3">
        <v>25</v>
      </c>
      <c r="G1145" s="3" t="s">
        <v>23</v>
      </c>
      <c r="H1145" s="3" t="s">
        <v>2280</v>
      </c>
      <c r="I1145" s="3"/>
      <c r="J1145" s="3" t="s">
        <v>17</v>
      </c>
      <c r="K1145" s="3">
        <v>87177</v>
      </c>
    </row>
    <row r="1146" spans="1:11">
      <c r="A1146" s="3" t="s">
        <v>2281</v>
      </c>
      <c r="B1146" s="3" t="s">
        <v>141</v>
      </c>
      <c r="C1146" s="3" t="s">
        <v>174</v>
      </c>
      <c r="D1146" s="3" t="s">
        <v>43</v>
      </c>
      <c r="E1146" s="3" t="s">
        <v>70</v>
      </c>
      <c r="F1146" s="3">
        <v>31</v>
      </c>
      <c r="G1146" s="3" t="s">
        <v>23</v>
      </c>
      <c r="H1146" s="3" t="s">
        <v>2282</v>
      </c>
      <c r="I1146" s="3"/>
      <c r="J1146" s="3" t="s">
        <v>17</v>
      </c>
      <c r="K1146" s="3">
        <v>76346</v>
      </c>
    </row>
    <row r="1147" spans="1:11">
      <c r="A1147" s="3" t="s">
        <v>2283</v>
      </c>
      <c r="B1147" s="3" t="s">
        <v>160</v>
      </c>
      <c r="C1147" s="3" t="s">
        <v>135</v>
      </c>
      <c r="D1147" s="3" t="s">
        <v>21</v>
      </c>
      <c r="E1147" s="3" t="s">
        <v>87</v>
      </c>
      <c r="F1147" s="3">
        <v>35</v>
      </c>
      <c r="G1147" s="3" t="s">
        <v>23</v>
      </c>
      <c r="H1147" s="3" t="s">
        <v>2284</v>
      </c>
      <c r="I1147" s="3"/>
      <c r="J1147" s="3" t="s">
        <v>17</v>
      </c>
      <c r="K1147" s="3">
        <v>34347</v>
      </c>
    </row>
    <row r="1148" spans="1:11">
      <c r="A1148" s="3" t="s">
        <v>2285</v>
      </c>
      <c r="B1148" s="3" t="s">
        <v>25</v>
      </c>
      <c r="C1148" s="3" t="s">
        <v>94</v>
      </c>
      <c r="D1148" s="3" t="s">
        <v>43</v>
      </c>
      <c r="E1148" s="3" t="s">
        <v>70</v>
      </c>
      <c r="F1148" s="3">
        <v>24</v>
      </c>
      <c r="G1148" s="3" t="s">
        <v>23</v>
      </c>
      <c r="H1148" s="3" t="s">
        <v>2286</v>
      </c>
      <c r="I1148" s="3"/>
      <c r="J1148" s="3" t="s">
        <v>17</v>
      </c>
      <c r="K1148" s="3">
        <v>18000</v>
      </c>
    </row>
    <row r="1149" spans="1:11">
      <c r="A1149" s="3" t="s">
        <v>2287</v>
      </c>
      <c r="B1149" s="3" t="s">
        <v>102</v>
      </c>
      <c r="C1149" s="3" t="s">
        <v>205</v>
      </c>
      <c r="D1149" s="3" t="s">
        <v>21</v>
      </c>
      <c r="E1149" s="3" t="s">
        <v>95</v>
      </c>
      <c r="F1149" s="3">
        <v>28</v>
      </c>
      <c r="G1149" s="3" t="s">
        <v>23</v>
      </c>
      <c r="H1149" s="3" t="s">
        <v>859</v>
      </c>
      <c r="I1149" s="3"/>
      <c r="J1149" s="3" t="s">
        <v>17</v>
      </c>
      <c r="K1149" s="3">
        <v>51716</v>
      </c>
    </row>
    <row r="1150" spans="1:11">
      <c r="A1150" s="3" t="s">
        <v>2288</v>
      </c>
      <c r="B1150" s="3" t="s">
        <v>152</v>
      </c>
      <c r="C1150" s="3" t="s">
        <v>169</v>
      </c>
      <c r="D1150" s="3" t="s">
        <v>43</v>
      </c>
      <c r="E1150" s="3" t="s">
        <v>48</v>
      </c>
      <c r="F1150" s="3">
        <v>38</v>
      </c>
      <c r="G1150" s="3" t="s">
        <v>16</v>
      </c>
      <c r="H1150" s="3" t="s">
        <v>1982</v>
      </c>
      <c r="I1150" s="3"/>
      <c r="J1150" s="3" t="s">
        <v>17</v>
      </c>
      <c r="K1150" s="3">
        <v>63067</v>
      </c>
    </row>
    <row r="1151" spans="1:11">
      <c r="A1151" s="3" t="s">
        <v>2289</v>
      </c>
      <c r="B1151" s="3" t="s">
        <v>152</v>
      </c>
      <c r="C1151" s="3" t="s">
        <v>26</v>
      </c>
      <c r="D1151" s="3" t="s">
        <v>21</v>
      </c>
      <c r="E1151" s="3" t="s">
        <v>87</v>
      </c>
      <c r="F1151" s="3">
        <v>21</v>
      </c>
      <c r="G1151" s="3" t="s">
        <v>23</v>
      </c>
      <c r="H1151" s="3" t="s">
        <v>2290</v>
      </c>
      <c r="I1151" s="3"/>
      <c r="J1151" s="3" t="s">
        <v>17</v>
      </c>
      <c r="K1151" s="3">
        <v>87741</v>
      </c>
    </row>
    <row r="1152" spans="1:11">
      <c r="A1152" s="3" t="s">
        <v>2291</v>
      </c>
      <c r="B1152" s="3" t="s">
        <v>73</v>
      </c>
      <c r="C1152" s="3" t="s">
        <v>205</v>
      </c>
      <c r="D1152" s="3" t="s">
        <v>118</v>
      </c>
      <c r="E1152" s="3" t="s">
        <v>48</v>
      </c>
      <c r="F1152" s="3">
        <v>46</v>
      </c>
      <c r="G1152" s="3" t="s">
        <v>23</v>
      </c>
      <c r="H1152" s="3" t="s">
        <v>2292</v>
      </c>
      <c r="I1152" s="3"/>
      <c r="J1152" s="3" t="s">
        <v>17</v>
      </c>
      <c r="K1152" s="3">
        <v>85464</v>
      </c>
    </row>
    <row r="1153" spans="1:11">
      <c r="A1153" s="3" t="s">
        <v>2293</v>
      </c>
      <c r="B1153" s="3" t="s">
        <v>41</v>
      </c>
      <c r="C1153" s="3" t="s">
        <v>83</v>
      </c>
      <c r="D1153" s="3" t="s">
        <v>14</v>
      </c>
      <c r="E1153" s="3" t="s">
        <v>15</v>
      </c>
      <c r="F1153" s="3">
        <v>25</v>
      </c>
      <c r="G1153" s="3" t="s">
        <v>16</v>
      </c>
      <c r="H1153" s="3" t="s">
        <v>2294</v>
      </c>
      <c r="I1153" s="3"/>
      <c r="J1153" s="3" t="s">
        <v>17</v>
      </c>
      <c r="K1153" s="3">
        <v>62573</v>
      </c>
    </row>
    <row r="1154" spans="1:11">
      <c r="A1154" s="3" t="s">
        <v>2295</v>
      </c>
      <c r="B1154" s="3" t="s">
        <v>298</v>
      </c>
      <c r="C1154" s="3" t="s">
        <v>13</v>
      </c>
      <c r="D1154" s="3" t="s">
        <v>21</v>
      </c>
      <c r="E1154" s="3" t="s">
        <v>22</v>
      </c>
      <c r="F1154" s="3">
        <v>29</v>
      </c>
      <c r="G1154" s="3" t="s">
        <v>23</v>
      </c>
      <c r="H1154" s="3" t="s">
        <v>2296</v>
      </c>
      <c r="I1154" s="3"/>
      <c r="J1154" s="3" t="s">
        <v>17</v>
      </c>
      <c r="K1154" s="3">
        <v>50515</v>
      </c>
    </row>
    <row r="1155" spans="1:11">
      <c r="A1155" s="3" t="s">
        <v>2297</v>
      </c>
      <c r="B1155" s="3" t="s">
        <v>82</v>
      </c>
      <c r="C1155" s="3" t="s">
        <v>213</v>
      </c>
      <c r="D1155" s="3" t="s">
        <v>43</v>
      </c>
      <c r="E1155" s="3" t="s">
        <v>48</v>
      </c>
      <c r="F1155" s="3">
        <v>26</v>
      </c>
      <c r="G1155" s="3" t="s">
        <v>23</v>
      </c>
      <c r="H1155" s="3" t="s">
        <v>2298</v>
      </c>
      <c r="I1155" s="3" t="s">
        <v>2299</v>
      </c>
      <c r="J1155" s="3" t="s">
        <v>51</v>
      </c>
      <c r="K1155" s="3">
        <v>39018</v>
      </c>
    </row>
    <row r="1156" spans="1:11">
      <c r="A1156" s="3" t="s">
        <v>2300</v>
      </c>
      <c r="B1156" s="3" t="s">
        <v>82</v>
      </c>
      <c r="C1156" s="3" t="s">
        <v>26</v>
      </c>
      <c r="D1156" s="3" t="s">
        <v>27</v>
      </c>
      <c r="E1156" s="3" t="s">
        <v>28</v>
      </c>
      <c r="F1156" s="3">
        <v>45</v>
      </c>
      <c r="G1156" s="3" t="s">
        <v>23</v>
      </c>
      <c r="H1156" s="3" t="s">
        <v>2301</v>
      </c>
      <c r="I1156" s="3"/>
      <c r="J1156" s="3" t="s">
        <v>17</v>
      </c>
      <c r="K1156" s="3">
        <v>63311</v>
      </c>
    </row>
    <row r="1157" spans="1:11">
      <c r="A1157" s="3" t="s">
        <v>1791</v>
      </c>
      <c r="B1157" s="3" t="s">
        <v>223</v>
      </c>
      <c r="C1157" s="3" t="s">
        <v>42</v>
      </c>
      <c r="D1157" s="3" t="s">
        <v>1389</v>
      </c>
      <c r="E1157" s="3" t="s">
        <v>15</v>
      </c>
      <c r="F1157" s="3">
        <v>32</v>
      </c>
      <c r="G1157" s="3" t="s">
        <v>16</v>
      </c>
      <c r="H1157" s="3" t="s">
        <v>1792</v>
      </c>
      <c r="I1157" s="3"/>
      <c r="J1157" s="3" t="s">
        <v>17</v>
      </c>
      <c r="K1157" s="3">
        <v>68437</v>
      </c>
    </row>
    <row r="1158" spans="1:11">
      <c r="A1158" s="3" t="s">
        <v>2302</v>
      </c>
      <c r="B1158" s="3" t="s">
        <v>47</v>
      </c>
      <c r="C1158" s="3" t="s">
        <v>174</v>
      </c>
      <c r="D1158" s="3" t="s">
        <v>33</v>
      </c>
      <c r="E1158" s="3" t="s">
        <v>34</v>
      </c>
      <c r="F1158" s="3">
        <v>32</v>
      </c>
      <c r="G1158" s="3" t="s">
        <v>23</v>
      </c>
      <c r="H1158" s="3" t="s">
        <v>2303</v>
      </c>
      <c r="I1158" s="3"/>
      <c r="J1158" s="3" t="s">
        <v>17</v>
      </c>
      <c r="K1158" s="3">
        <v>31705</v>
      </c>
    </row>
    <row r="1159" spans="1:11">
      <c r="A1159" s="3" t="s">
        <v>2304</v>
      </c>
      <c r="B1159" s="3" t="s">
        <v>47</v>
      </c>
      <c r="C1159" s="3" t="s">
        <v>83</v>
      </c>
      <c r="D1159" s="3" t="s">
        <v>27</v>
      </c>
      <c r="E1159" s="3" t="s">
        <v>28</v>
      </c>
      <c r="F1159" s="3">
        <v>21</v>
      </c>
      <c r="G1159" s="3" t="s">
        <v>16</v>
      </c>
      <c r="H1159" s="3" t="s">
        <v>2305</v>
      </c>
      <c r="I1159" s="3"/>
      <c r="J1159" s="3" t="s">
        <v>17</v>
      </c>
      <c r="K1159" s="3">
        <v>47457</v>
      </c>
    </row>
    <row r="1160" spans="1:11">
      <c r="A1160" s="3" t="s">
        <v>2306</v>
      </c>
      <c r="B1160" s="3" t="s">
        <v>128</v>
      </c>
      <c r="C1160" s="3" t="s">
        <v>26</v>
      </c>
      <c r="D1160" s="3" t="s">
        <v>21</v>
      </c>
      <c r="E1160" s="3" t="s">
        <v>22</v>
      </c>
      <c r="F1160" s="3">
        <v>26</v>
      </c>
      <c r="G1160" s="3" t="s">
        <v>23</v>
      </c>
      <c r="H1160" s="3" t="s">
        <v>2011</v>
      </c>
      <c r="I1160" s="3"/>
      <c r="J1160" s="3" t="s">
        <v>17</v>
      </c>
      <c r="K1160" s="3">
        <v>54336</v>
      </c>
    </row>
    <row r="1161" spans="1:11">
      <c r="A1161" s="3" t="s">
        <v>2307</v>
      </c>
      <c r="B1161" s="3" t="s">
        <v>78</v>
      </c>
      <c r="C1161" s="3" t="s">
        <v>174</v>
      </c>
      <c r="D1161" s="3" t="s">
        <v>64</v>
      </c>
      <c r="E1161" s="3" t="s">
        <v>161</v>
      </c>
      <c r="F1161" s="3">
        <v>38</v>
      </c>
      <c r="G1161" s="3" t="s">
        <v>23</v>
      </c>
      <c r="H1161" s="3" t="s">
        <v>2308</v>
      </c>
      <c r="I1161" s="3"/>
      <c r="J1161" s="3" t="s">
        <v>17</v>
      </c>
      <c r="K1161" s="3">
        <v>61181</v>
      </c>
    </row>
    <row r="1162" spans="1:11">
      <c r="A1162" s="3" t="s">
        <v>2309</v>
      </c>
      <c r="B1162" s="3" t="s">
        <v>252</v>
      </c>
      <c r="C1162" s="3" t="s">
        <v>94</v>
      </c>
      <c r="D1162" s="3" t="s">
        <v>239</v>
      </c>
      <c r="E1162" s="3" t="s">
        <v>122</v>
      </c>
      <c r="F1162" s="3">
        <v>32</v>
      </c>
      <c r="G1162" s="3" t="s">
        <v>23</v>
      </c>
      <c r="H1162" s="3" t="s">
        <v>2310</v>
      </c>
      <c r="I1162" s="3"/>
      <c r="J1162" s="3" t="s">
        <v>17</v>
      </c>
      <c r="K1162" s="3">
        <v>56238</v>
      </c>
    </row>
    <row r="1163" spans="1:11">
      <c r="A1163" s="3" t="s">
        <v>2311</v>
      </c>
      <c r="B1163" s="3" t="s">
        <v>298</v>
      </c>
      <c r="C1163" s="3" t="s">
        <v>129</v>
      </c>
      <c r="D1163" s="3" t="s">
        <v>27</v>
      </c>
      <c r="E1163" s="3" t="s">
        <v>54</v>
      </c>
      <c r="F1163" s="3">
        <v>27</v>
      </c>
      <c r="G1163" s="3" t="s">
        <v>16</v>
      </c>
      <c r="H1163" s="3" t="s">
        <v>2312</v>
      </c>
      <c r="I1163" s="3" t="s">
        <v>2313</v>
      </c>
      <c r="J1163" s="3" t="s">
        <v>51</v>
      </c>
      <c r="K1163" s="3">
        <v>62272</v>
      </c>
    </row>
    <row r="1164" spans="1:11">
      <c r="A1164" s="3" t="s">
        <v>2314</v>
      </c>
      <c r="B1164" s="3" t="s">
        <v>160</v>
      </c>
      <c r="C1164" s="3" t="s">
        <v>83</v>
      </c>
      <c r="D1164" s="3" t="s">
        <v>43</v>
      </c>
      <c r="E1164" s="3" t="s">
        <v>70</v>
      </c>
      <c r="F1164" s="3">
        <v>27</v>
      </c>
      <c r="G1164" s="3" t="s">
        <v>23</v>
      </c>
      <c r="H1164" s="3" t="s">
        <v>2315</v>
      </c>
      <c r="I1164" s="3" t="s">
        <v>2316</v>
      </c>
      <c r="J1164" s="3" t="s">
        <v>51</v>
      </c>
      <c r="K1164" s="3">
        <v>110132</v>
      </c>
    </row>
    <row r="1165" spans="1:11">
      <c r="A1165" s="3" t="s">
        <v>2317</v>
      </c>
      <c r="B1165" s="3" t="s">
        <v>223</v>
      </c>
      <c r="C1165" s="3" t="s">
        <v>146</v>
      </c>
      <c r="D1165" s="3" t="s">
        <v>14</v>
      </c>
      <c r="E1165" s="3" t="s">
        <v>15</v>
      </c>
      <c r="F1165" s="3">
        <v>35</v>
      </c>
      <c r="G1165" s="3" t="s">
        <v>23</v>
      </c>
      <c r="H1165" s="3" t="s">
        <v>614</v>
      </c>
      <c r="I1165" s="3"/>
      <c r="J1165" s="3" t="s">
        <v>17</v>
      </c>
      <c r="K1165" s="3">
        <v>42358</v>
      </c>
    </row>
    <row r="1166" spans="1:11">
      <c r="A1166" s="3" t="s">
        <v>2318</v>
      </c>
      <c r="B1166" s="3" t="s">
        <v>238</v>
      </c>
      <c r="C1166" s="3" t="s">
        <v>32</v>
      </c>
      <c r="D1166" s="3" t="s">
        <v>43</v>
      </c>
      <c r="E1166" s="3" t="s">
        <v>48</v>
      </c>
      <c r="F1166" s="3">
        <v>37</v>
      </c>
      <c r="G1166" s="3" t="s">
        <v>23</v>
      </c>
      <c r="H1166" s="3" t="s">
        <v>2319</v>
      </c>
      <c r="I1166" s="3"/>
      <c r="J1166" s="3" t="s">
        <v>17</v>
      </c>
      <c r="K1166" s="3">
        <v>86073</v>
      </c>
    </row>
    <row r="1167" spans="1:11">
      <c r="A1167" s="3" t="s">
        <v>2320</v>
      </c>
      <c r="B1167" s="3" t="s">
        <v>145</v>
      </c>
      <c r="C1167" s="3" t="s">
        <v>74</v>
      </c>
      <c r="D1167" s="3" t="s">
        <v>33</v>
      </c>
      <c r="E1167" s="3" t="s">
        <v>34</v>
      </c>
      <c r="F1167" s="3">
        <v>21</v>
      </c>
      <c r="G1167" s="3" t="s">
        <v>16</v>
      </c>
      <c r="H1167" s="3" t="s">
        <v>2321</v>
      </c>
      <c r="I1167" s="3"/>
      <c r="J1167" s="3" t="s">
        <v>17</v>
      </c>
      <c r="K1167" s="3">
        <v>39761</v>
      </c>
    </row>
    <row r="1168" spans="1:11">
      <c r="A1168" s="3" t="s">
        <v>2322</v>
      </c>
      <c r="B1168" s="3" t="s">
        <v>238</v>
      </c>
      <c r="C1168" s="3" t="s">
        <v>113</v>
      </c>
      <c r="D1168" s="3" t="s">
        <v>14</v>
      </c>
      <c r="E1168" s="3" t="s">
        <v>15</v>
      </c>
      <c r="F1168" s="3">
        <v>37</v>
      </c>
      <c r="G1168" s="3" t="s">
        <v>23</v>
      </c>
      <c r="H1168" s="3" t="s">
        <v>2323</v>
      </c>
      <c r="I1168" s="3" t="s">
        <v>2324</v>
      </c>
      <c r="J1168" s="3" t="s">
        <v>51</v>
      </c>
      <c r="K1168" s="3">
        <v>81539</v>
      </c>
    </row>
    <row r="1169" spans="1:11">
      <c r="A1169" s="3" t="s">
        <v>2325</v>
      </c>
      <c r="B1169" s="3" t="s">
        <v>47</v>
      </c>
      <c r="C1169" s="3" t="s">
        <v>129</v>
      </c>
      <c r="D1169" s="3" t="s">
        <v>27</v>
      </c>
      <c r="E1169" s="3" t="s">
        <v>122</v>
      </c>
      <c r="F1169" s="3">
        <v>32</v>
      </c>
      <c r="G1169" s="3" t="s">
        <v>16</v>
      </c>
      <c r="H1169" s="3" t="s">
        <v>126</v>
      </c>
      <c r="I1169" s="3"/>
      <c r="J1169" s="3" t="s">
        <v>17</v>
      </c>
      <c r="K1169" s="3">
        <v>53122</v>
      </c>
    </row>
    <row r="1170" spans="1:11">
      <c r="A1170" s="3" t="s">
        <v>2326</v>
      </c>
      <c r="B1170" s="3" t="s">
        <v>216</v>
      </c>
      <c r="C1170" s="3" t="s">
        <v>69</v>
      </c>
      <c r="D1170" s="3" t="s">
        <v>64</v>
      </c>
      <c r="E1170" s="3" t="s">
        <v>161</v>
      </c>
      <c r="F1170" s="3">
        <v>40</v>
      </c>
      <c r="G1170" s="3" t="s">
        <v>16</v>
      </c>
      <c r="H1170" s="3" t="s">
        <v>2327</v>
      </c>
      <c r="I1170" s="3"/>
      <c r="J1170" s="3" t="s">
        <v>17</v>
      </c>
      <c r="K1170" s="3">
        <v>68973</v>
      </c>
    </row>
    <row r="1171" spans="1:11">
      <c r="A1171" s="3" t="s">
        <v>2328</v>
      </c>
      <c r="B1171" s="3" t="s">
        <v>252</v>
      </c>
      <c r="C1171" s="3" t="s">
        <v>26</v>
      </c>
      <c r="D1171" s="3" t="s">
        <v>33</v>
      </c>
      <c r="E1171" s="3" t="s">
        <v>34</v>
      </c>
      <c r="F1171" s="3">
        <v>40</v>
      </c>
      <c r="G1171" s="3" t="s">
        <v>16</v>
      </c>
      <c r="H1171" s="3" t="s">
        <v>1202</v>
      </c>
      <c r="I1171" s="3"/>
      <c r="J1171" s="3" t="s">
        <v>17</v>
      </c>
      <c r="K1171" s="3">
        <v>38796</v>
      </c>
    </row>
    <row r="1172" spans="1:11">
      <c r="A1172" s="3" t="s">
        <v>2329</v>
      </c>
      <c r="B1172" s="3" t="s">
        <v>141</v>
      </c>
      <c r="C1172" s="3" t="s">
        <v>94</v>
      </c>
      <c r="D1172" s="3" t="s">
        <v>21</v>
      </c>
      <c r="E1172" s="3" t="s">
        <v>22</v>
      </c>
      <c r="F1172" s="3">
        <v>42</v>
      </c>
      <c r="G1172" s="3" t="s">
        <v>16</v>
      </c>
      <c r="H1172" s="3" t="s">
        <v>2330</v>
      </c>
      <c r="I1172" s="3"/>
      <c r="J1172" s="3" t="s">
        <v>17</v>
      </c>
      <c r="K1172" s="3">
        <v>65682</v>
      </c>
    </row>
    <row r="1173" spans="1:11">
      <c r="A1173" s="3" t="s">
        <v>2331</v>
      </c>
      <c r="B1173" s="3" t="s">
        <v>41</v>
      </c>
      <c r="C1173" s="3" t="s">
        <v>42</v>
      </c>
      <c r="D1173" s="3" t="s">
        <v>33</v>
      </c>
      <c r="E1173" s="3" t="s">
        <v>34</v>
      </c>
      <c r="F1173" s="3">
        <v>41</v>
      </c>
      <c r="G1173" s="3" t="s">
        <v>16</v>
      </c>
      <c r="H1173" s="3" t="s">
        <v>2332</v>
      </c>
      <c r="I1173" s="3"/>
      <c r="J1173" s="3" t="s">
        <v>17</v>
      </c>
      <c r="K1173" s="3">
        <v>65812</v>
      </c>
    </row>
    <row r="1174" spans="1:11">
      <c r="A1174" s="3" t="s">
        <v>2333</v>
      </c>
      <c r="B1174" s="3" t="s">
        <v>216</v>
      </c>
      <c r="C1174" s="3" t="s">
        <v>177</v>
      </c>
      <c r="D1174" s="3" t="s">
        <v>43</v>
      </c>
      <c r="E1174" s="3" t="s">
        <v>44</v>
      </c>
      <c r="F1174" s="3">
        <v>27</v>
      </c>
      <c r="G1174" s="3" t="s">
        <v>16</v>
      </c>
      <c r="H1174" s="3" t="s">
        <v>861</v>
      </c>
      <c r="I1174" s="3"/>
      <c r="J1174" s="3" t="s">
        <v>17</v>
      </c>
      <c r="K1174" s="3">
        <v>52801</v>
      </c>
    </row>
    <row r="1175" spans="1:11">
      <c r="A1175" s="3" t="s">
        <v>2334</v>
      </c>
      <c r="B1175" s="3" t="s">
        <v>125</v>
      </c>
      <c r="C1175" s="3" t="s">
        <v>103</v>
      </c>
      <c r="D1175" s="3" t="s">
        <v>21</v>
      </c>
      <c r="E1175" s="3" t="s">
        <v>95</v>
      </c>
      <c r="F1175">
        <v>32</v>
      </c>
      <c r="G1175" s="3" t="s">
        <v>16</v>
      </c>
      <c r="H1175" s="3" t="s">
        <v>2313</v>
      </c>
      <c r="I1175" s="3"/>
      <c r="J1175" s="3" t="s">
        <v>17</v>
      </c>
      <c r="K1175" s="3">
        <v>36492</v>
      </c>
    </row>
    <row r="1176" spans="1:11">
      <c r="A1176" s="3" t="s">
        <v>2335</v>
      </c>
      <c r="B1176" s="3" t="s">
        <v>31</v>
      </c>
      <c r="C1176" s="3" t="s">
        <v>164</v>
      </c>
      <c r="D1176" s="3" t="s">
        <v>64</v>
      </c>
      <c r="E1176" s="3" t="s">
        <v>266</v>
      </c>
      <c r="F1176" s="3">
        <v>38</v>
      </c>
      <c r="G1176" s="3" t="s">
        <v>16</v>
      </c>
      <c r="H1176" s="3" t="s">
        <v>2336</v>
      </c>
      <c r="I1176" s="3"/>
      <c r="J1176" s="3" t="s">
        <v>17</v>
      </c>
      <c r="K1176" s="3">
        <v>57517</v>
      </c>
    </row>
    <row r="1177" spans="1:11">
      <c r="A1177" s="3" t="s">
        <v>2337</v>
      </c>
      <c r="B1177" s="3" t="s">
        <v>102</v>
      </c>
      <c r="C1177" s="3" t="s">
        <v>146</v>
      </c>
      <c r="D1177" s="3" t="s">
        <v>321</v>
      </c>
      <c r="E1177" s="3" t="s">
        <v>155</v>
      </c>
      <c r="F1177" s="3">
        <v>29</v>
      </c>
      <c r="G1177" s="3" t="s">
        <v>16</v>
      </c>
      <c r="H1177" s="3" t="s">
        <v>299</v>
      </c>
      <c r="I1177" s="3"/>
      <c r="J1177" s="3" t="s">
        <v>17</v>
      </c>
      <c r="K1177" s="3">
        <v>38005</v>
      </c>
    </row>
    <row r="1178" spans="1:11">
      <c r="A1178" s="3" t="s">
        <v>2338</v>
      </c>
      <c r="B1178" s="3" t="s">
        <v>134</v>
      </c>
      <c r="C1178" s="3" t="s">
        <v>135</v>
      </c>
      <c r="D1178" s="3" t="s">
        <v>21</v>
      </c>
      <c r="E1178" s="3" t="s">
        <v>22</v>
      </c>
      <c r="F1178" s="3">
        <v>23</v>
      </c>
      <c r="G1178" s="3" t="s">
        <v>23</v>
      </c>
      <c r="H1178" s="3" t="s">
        <v>2339</v>
      </c>
      <c r="I1178" s="3"/>
      <c r="J1178" s="3" t="s">
        <v>17</v>
      </c>
      <c r="K1178" s="3">
        <v>62549</v>
      </c>
    </row>
    <row r="1179" spans="1:11">
      <c r="A1179" s="3" t="s">
        <v>2340</v>
      </c>
      <c r="B1179" s="3" t="s">
        <v>47</v>
      </c>
      <c r="C1179" s="3" t="s">
        <v>59</v>
      </c>
      <c r="D1179" s="3" t="s">
        <v>43</v>
      </c>
      <c r="E1179" s="3" t="s">
        <v>70</v>
      </c>
      <c r="F1179">
        <v>32</v>
      </c>
      <c r="G1179" s="3" t="s">
        <v>23</v>
      </c>
      <c r="H1179" s="3" t="s">
        <v>2341</v>
      </c>
      <c r="I1179" s="3"/>
      <c r="J1179" s="3" t="s">
        <v>17</v>
      </c>
      <c r="K1179" s="3">
        <v>85412</v>
      </c>
    </row>
    <row r="1180" spans="1:11">
      <c r="A1180" s="3" t="s">
        <v>2342</v>
      </c>
      <c r="B1180" s="3" t="s">
        <v>141</v>
      </c>
      <c r="C1180" s="3" t="s">
        <v>26</v>
      </c>
      <c r="D1180" s="3" t="s">
        <v>33</v>
      </c>
      <c r="E1180" s="3" t="s">
        <v>34</v>
      </c>
      <c r="F1180" s="3">
        <v>37</v>
      </c>
      <c r="G1180" s="3" t="s">
        <v>16</v>
      </c>
      <c r="H1180" s="3" t="s">
        <v>2343</v>
      </c>
      <c r="I1180" s="3"/>
      <c r="J1180" s="3" t="s">
        <v>17</v>
      </c>
      <c r="K1180" s="3">
        <v>51121</v>
      </c>
    </row>
    <row r="1181" spans="1:11">
      <c r="A1181" s="3" t="s">
        <v>997</v>
      </c>
      <c r="B1181" s="3" t="s">
        <v>19</v>
      </c>
      <c r="C1181" s="3" t="s">
        <v>135</v>
      </c>
      <c r="D1181" s="3" t="s">
        <v>14</v>
      </c>
      <c r="E1181" s="3" t="s">
        <v>15</v>
      </c>
      <c r="F1181" s="3">
        <v>41</v>
      </c>
      <c r="G1181" s="3" t="s">
        <v>23</v>
      </c>
      <c r="H1181" s="3" t="s">
        <v>998</v>
      </c>
      <c r="I1181" s="3"/>
      <c r="J1181" s="3" t="s">
        <v>17</v>
      </c>
      <c r="K1181" s="3">
        <v>67747</v>
      </c>
    </row>
    <row r="1182" spans="1:11">
      <c r="A1182" s="3" t="s">
        <v>2344</v>
      </c>
      <c r="B1182" s="3" t="s">
        <v>98</v>
      </c>
      <c r="C1182" s="3" t="s">
        <v>129</v>
      </c>
      <c r="D1182" s="3" t="s">
        <v>27</v>
      </c>
      <c r="E1182" s="3" t="s">
        <v>28</v>
      </c>
      <c r="F1182" s="3">
        <v>29</v>
      </c>
      <c r="G1182" s="3" t="s">
        <v>16</v>
      </c>
      <c r="H1182" s="3" t="s">
        <v>2345</v>
      </c>
      <c r="I1182" s="3"/>
      <c r="J1182" s="3" t="s">
        <v>17</v>
      </c>
      <c r="K1182" s="3">
        <v>55223</v>
      </c>
    </row>
    <row r="1183" spans="1:11">
      <c r="A1183" s="3" t="s">
        <v>2346</v>
      </c>
      <c r="B1183" s="3" t="s">
        <v>134</v>
      </c>
      <c r="C1183" s="3" t="s">
        <v>103</v>
      </c>
      <c r="D1183" s="3" t="s">
        <v>27</v>
      </c>
      <c r="E1183" s="3" t="s">
        <v>122</v>
      </c>
      <c r="F1183" s="3">
        <v>35</v>
      </c>
      <c r="G1183" s="3" t="s">
        <v>16</v>
      </c>
      <c r="H1183" s="3" t="s">
        <v>1044</v>
      </c>
      <c r="I1183" s="3"/>
      <c r="J1183" s="3" t="s">
        <v>17</v>
      </c>
      <c r="K1183" s="3">
        <v>63024</v>
      </c>
    </row>
    <row r="1184" spans="1:11">
      <c r="A1184" s="3" t="s">
        <v>2347</v>
      </c>
      <c r="B1184" s="3" t="s">
        <v>226</v>
      </c>
      <c r="C1184" s="3" t="s">
        <v>13</v>
      </c>
      <c r="D1184" s="3" t="s">
        <v>27</v>
      </c>
      <c r="E1184" s="3" t="s">
        <v>122</v>
      </c>
      <c r="F1184" s="3">
        <v>47</v>
      </c>
      <c r="G1184" s="3" t="s">
        <v>16</v>
      </c>
      <c r="H1184" s="3" t="s">
        <v>2348</v>
      </c>
      <c r="I1184" s="3"/>
      <c r="J1184" s="3" t="s">
        <v>17</v>
      </c>
      <c r="K1184" s="3">
        <v>45758</v>
      </c>
    </row>
    <row r="1185" spans="1:11">
      <c r="A1185" s="3" t="s">
        <v>2349</v>
      </c>
      <c r="B1185" s="3" t="s">
        <v>19</v>
      </c>
      <c r="C1185" s="3" t="s">
        <v>94</v>
      </c>
      <c r="D1185" s="3" t="s">
        <v>64</v>
      </c>
      <c r="E1185" s="3" t="s">
        <v>65</v>
      </c>
      <c r="F1185" s="3">
        <v>26</v>
      </c>
      <c r="G1185" s="3" t="s">
        <v>16</v>
      </c>
      <c r="H1185" s="3" t="s">
        <v>2350</v>
      </c>
      <c r="I1185" s="3" t="s">
        <v>676</v>
      </c>
      <c r="J1185" s="3" t="s">
        <v>51</v>
      </c>
      <c r="K1185" s="3">
        <v>43328</v>
      </c>
    </row>
    <row r="1186" spans="1:11">
      <c r="A1186" s="3" t="s">
        <v>2351</v>
      </c>
      <c r="B1186" s="3" t="s">
        <v>152</v>
      </c>
      <c r="C1186" s="3" t="s">
        <v>20</v>
      </c>
      <c r="D1186" s="3" t="s">
        <v>21</v>
      </c>
      <c r="E1186" s="3" t="s">
        <v>87</v>
      </c>
      <c r="F1186" s="3">
        <v>25</v>
      </c>
      <c r="G1186" s="3" t="s">
        <v>16</v>
      </c>
      <c r="H1186" s="3" t="s">
        <v>2352</v>
      </c>
      <c r="I1186" s="3"/>
      <c r="J1186" s="3" t="s">
        <v>17</v>
      </c>
      <c r="K1186" s="3">
        <v>54718</v>
      </c>
    </row>
    <row r="1187" spans="1:11">
      <c r="A1187" s="3" t="s">
        <v>2353</v>
      </c>
      <c r="B1187" s="3" t="s">
        <v>263</v>
      </c>
      <c r="C1187" s="3" t="s">
        <v>42</v>
      </c>
      <c r="D1187" s="3" t="s">
        <v>21</v>
      </c>
      <c r="E1187" s="3" t="s">
        <v>155</v>
      </c>
      <c r="F1187" s="3">
        <v>39</v>
      </c>
      <c r="G1187" s="3" t="s">
        <v>23</v>
      </c>
      <c r="H1187" s="3" t="s">
        <v>2354</v>
      </c>
      <c r="I1187" s="3"/>
      <c r="J1187" s="3" t="s">
        <v>17</v>
      </c>
      <c r="K1187" s="3">
        <v>58962</v>
      </c>
    </row>
    <row r="1188" spans="1:11">
      <c r="A1188" s="3" t="s">
        <v>2355</v>
      </c>
      <c r="B1188" s="3" t="s">
        <v>141</v>
      </c>
      <c r="C1188" s="3" t="s">
        <v>129</v>
      </c>
      <c r="D1188" s="3" t="s">
        <v>33</v>
      </c>
      <c r="E1188" s="3" t="s">
        <v>79</v>
      </c>
      <c r="F1188" s="3">
        <v>32</v>
      </c>
      <c r="G1188" s="3" t="s">
        <v>23</v>
      </c>
      <c r="H1188" s="3" t="s">
        <v>1646</v>
      </c>
      <c r="I1188" s="3"/>
      <c r="J1188" s="3" t="s">
        <v>17</v>
      </c>
      <c r="K1188" s="3">
        <v>49682</v>
      </c>
    </row>
    <row r="1189" spans="1:11">
      <c r="A1189" s="3" t="s">
        <v>2356</v>
      </c>
      <c r="B1189" s="3" t="s">
        <v>68</v>
      </c>
      <c r="C1189" s="3" t="s">
        <v>113</v>
      </c>
      <c r="D1189" s="3" t="s">
        <v>33</v>
      </c>
      <c r="E1189" s="3" t="s">
        <v>79</v>
      </c>
      <c r="F1189" s="3">
        <v>28</v>
      </c>
      <c r="G1189" s="3" t="s">
        <v>16</v>
      </c>
      <c r="H1189" s="3" t="s">
        <v>277</v>
      </c>
      <c r="I1189" s="3"/>
      <c r="J1189" s="3" t="s">
        <v>17</v>
      </c>
      <c r="K1189" s="3">
        <v>76448</v>
      </c>
    </row>
    <row r="1190" spans="1:11">
      <c r="A1190" s="3" t="s">
        <v>2357</v>
      </c>
      <c r="B1190" s="3" t="s">
        <v>68</v>
      </c>
      <c r="C1190" s="3" t="s">
        <v>205</v>
      </c>
      <c r="D1190" s="3" t="s">
        <v>27</v>
      </c>
      <c r="E1190" s="3" t="s">
        <v>54</v>
      </c>
      <c r="F1190" s="3">
        <v>30</v>
      </c>
      <c r="G1190" s="3" t="s">
        <v>16</v>
      </c>
      <c r="H1190" s="3" t="s">
        <v>2358</v>
      </c>
      <c r="I1190" s="3" t="s">
        <v>866</v>
      </c>
      <c r="J1190" s="3" t="s">
        <v>51</v>
      </c>
      <c r="K1190" s="3">
        <v>26283</v>
      </c>
    </row>
    <row r="1191" spans="1:11">
      <c r="A1191" s="3" t="s">
        <v>2359</v>
      </c>
      <c r="B1191" s="3" t="s">
        <v>12</v>
      </c>
      <c r="C1191" s="3" t="s">
        <v>113</v>
      </c>
      <c r="D1191" s="3" t="s">
        <v>43</v>
      </c>
      <c r="E1191" s="3" t="s">
        <v>44</v>
      </c>
      <c r="F1191" s="3">
        <v>35</v>
      </c>
      <c r="G1191" s="3" t="s">
        <v>16</v>
      </c>
      <c r="H1191" s="3" t="s">
        <v>2360</v>
      </c>
      <c r="I1191" s="3"/>
      <c r="J1191" s="3" t="s">
        <v>17</v>
      </c>
      <c r="K1191" s="3">
        <v>55788</v>
      </c>
    </row>
    <row r="1192" spans="1:11">
      <c r="A1192" s="3" t="s">
        <v>2361</v>
      </c>
      <c r="B1192" s="3" t="s">
        <v>93</v>
      </c>
      <c r="C1192" s="3" t="s">
        <v>69</v>
      </c>
      <c r="D1192" s="3" t="s">
        <v>64</v>
      </c>
      <c r="E1192" s="3" t="s">
        <v>65</v>
      </c>
      <c r="F1192">
        <v>32</v>
      </c>
      <c r="G1192" s="3" t="s">
        <v>23</v>
      </c>
      <c r="H1192" s="3" t="s">
        <v>2362</v>
      </c>
      <c r="I1192" s="3" t="s">
        <v>2363</v>
      </c>
      <c r="J1192" s="3" t="s">
        <v>51</v>
      </c>
      <c r="K1192" s="3">
        <v>29401</v>
      </c>
    </row>
    <row r="1193" spans="1:11">
      <c r="A1193" s="3" t="s">
        <v>2364</v>
      </c>
      <c r="B1193" s="3" t="s">
        <v>106</v>
      </c>
      <c r="C1193" s="3" t="s">
        <v>103</v>
      </c>
      <c r="D1193" s="3" t="s">
        <v>27</v>
      </c>
      <c r="E1193" s="3" t="s">
        <v>54</v>
      </c>
      <c r="F1193" s="3">
        <v>42</v>
      </c>
      <c r="G1193" s="3" t="s">
        <v>16</v>
      </c>
      <c r="H1193" s="3" t="s">
        <v>2365</v>
      </c>
      <c r="I1193" s="3"/>
      <c r="J1193" s="3" t="s">
        <v>17</v>
      </c>
      <c r="K1193" s="3">
        <v>32856</v>
      </c>
    </row>
    <row r="1194" spans="1:11">
      <c r="A1194" s="3" t="s">
        <v>2366</v>
      </c>
      <c r="B1194" s="3" t="s">
        <v>90</v>
      </c>
      <c r="C1194" s="3" t="s">
        <v>94</v>
      </c>
      <c r="D1194" s="3" t="s">
        <v>43</v>
      </c>
      <c r="E1194" s="3" t="s">
        <v>44</v>
      </c>
      <c r="F1194" s="3">
        <v>21</v>
      </c>
      <c r="G1194" s="3" t="s">
        <v>23</v>
      </c>
      <c r="H1194" s="3" t="s">
        <v>2367</v>
      </c>
      <c r="I1194" s="3"/>
      <c r="J1194" s="3" t="s">
        <v>17</v>
      </c>
      <c r="K1194" s="3">
        <v>94621</v>
      </c>
    </row>
    <row r="1195" spans="1:11">
      <c r="A1195" s="3" t="s">
        <v>2368</v>
      </c>
      <c r="B1195" s="3" t="s">
        <v>252</v>
      </c>
      <c r="C1195" s="3" t="s">
        <v>177</v>
      </c>
      <c r="D1195" s="3" t="s">
        <v>14</v>
      </c>
      <c r="E1195" s="3" t="s">
        <v>15</v>
      </c>
      <c r="F1195" s="3">
        <v>25</v>
      </c>
      <c r="G1195" s="3" t="s">
        <v>23</v>
      </c>
      <c r="H1195" s="3" t="s">
        <v>2369</v>
      </c>
      <c r="I1195" s="3"/>
      <c r="J1195" s="3" t="s">
        <v>17</v>
      </c>
      <c r="K1195" s="3">
        <v>18000</v>
      </c>
    </row>
    <row r="1196" spans="1:11">
      <c r="A1196" s="3" t="s">
        <v>2370</v>
      </c>
      <c r="B1196" s="3" t="s">
        <v>19</v>
      </c>
      <c r="C1196" s="3" t="s">
        <v>113</v>
      </c>
      <c r="D1196" s="3" t="s">
        <v>27</v>
      </c>
      <c r="E1196" s="3" t="s">
        <v>122</v>
      </c>
      <c r="F1196" s="3">
        <v>21</v>
      </c>
      <c r="G1196" s="3" t="s">
        <v>23</v>
      </c>
      <c r="H1196" s="3" t="s">
        <v>2371</v>
      </c>
      <c r="I1196" s="3"/>
      <c r="J1196" s="3" t="s">
        <v>17</v>
      </c>
      <c r="K1196" s="3">
        <v>48603</v>
      </c>
    </row>
    <row r="1197" spans="1:11">
      <c r="A1197" s="3" t="s">
        <v>2372</v>
      </c>
      <c r="B1197" s="3" t="s">
        <v>238</v>
      </c>
      <c r="C1197" s="3" t="s">
        <v>42</v>
      </c>
      <c r="D1197" s="3" t="s">
        <v>239</v>
      </c>
      <c r="E1197" s="3" t="s">
        <v>28</v>
      </c>
      <c r="F1197" s="3">
        <v>39</v>
      </c>
      <c r="G1197" s="3" t="s">
        <v>16</v>
      </c>
      <c r="H1197" s="3" t="s">
        <v>762</v>
      </c>
      <c r="I1197" s="3"/>
      <c r="J1197" s="3" t="s">
        <v>17</v>
      </c>
      <c r="K1197" s="3">
        <v>34854</v>
      </c>
    </row>
    <row r="1198" spans="1:11">
      <c r="A1198" s="3" t="s">
        <v>2373</v>
      </c>
      <c r="B1198" s="3" t="s">
        <v>102</v>
      </c>
      <c r="C1198" s="3" t="s">
        <v>59</v>
      </c>
      <c r="D1198" s="3" t="s">
        <v>27</v>
      </c>
      <c r="E1198" s="3" t="s">
        <v>28</v>
      </c>
      <c r="F1198" s="3">
        <v>43</v>
      </c>
      <c r="G1198" s="3" t="s">
        <v>16</v>
      </c>
      <c r="H1198" s="3" t="s">
        <v>2374</v>
      </c>
      <c r="I1198" s="3"/>
      <c r="J1198" s="3" t="s">
        <v>17</v>
      </c>
      <c r="K1198" s="3">
        <v>44908</v>
      </c>
    </row>
    <row r="1199" spans="1:11">
      <c r="A1199" s="3" t="s">
        <v>2375</v>
      </c>
      <c r="B1199" s="3" t="s">
        <v>152</v>
      </c>
      <c r="C1199" s="3" t="s">
        <v>53</v>
      </c>
      <c r="D1199" s="3" t="s">
        <v>43</v>
      </c>
      <c r="E1199" s="3" t="s">
        <v>48</v>
      </c>
      <c r="F1199" s="3">
        <v>26</v>
      </c>
      <c r="G1199" s="3" t="s">
        <v>23</v>
      </c>
      <c r="H1199" s="3" t="s">
        <v>706</v>
      </c>
      <c r="I1199" s="3"/>
      <c r="J1199" s="3" t="s">
        <v>17</v>
      </c>
      <c r="K1199" s="3">
        <v>32000</v>
      </c>
    </row>
    <row r="1200" spans="1:11">
      <c r="A1200" s="3" t="s">
        <v>2376</v>
      </c>
      <c r="B1200" s="3" t="s">
        <v>109</v>
      </c>
      <c r="C1200" s="3" t="s">
        <v>63</v>
      </c>
      <c r="D1200" s="3" t="s">
        <v>27</v>
      </c>
      <c r="E1200" s="3" t="s">
        <v>54</v>
      </c>
      <c r="F1200" s="3">
        <v>21</v>
      </c>
      <c r="G1200" s="3" t="s">
        <v>23</v>
      </c>
      <c r="H1200" s="3" t="s">
        <v>2377</v>
      </c>
      <c r="I1200" s="3" t="s">
        <v>2378</v>
      </c>
      <c r="J1200" s="3" t="s">
        <v>51</v>
      </c>
      <c r="K1200" s="3">
        <v>52239</v>
      </c>
    </row>
    <row r="1201" spans="1:11">
      <c r="A1201" s="3" t="s">
        <v>2379</v>
      </c>
      <c r="B1201" s="3" t="s">
        <v>186</v>
      </c>
      <c r="C1201" s="3" t="s">
        <v>26</v>
      </c>
      <c r="D1201" s="3" t="s">
        <v>21</v>
      </c>
      <c r="E1201" s="3" t="s">
        <v>22</v>
      </c>
      <c r="F1201" s="3">
        <v>36</v>
      </c>
      <c r="G1201" s="3" t="s">
        <v>23</v>
      </c>
      <c r="H1201" s="3" t="s">
        <v>45</v>
      </c>
      <c r="I1201" s="3"/>
      <c r="J1201" s="3" t="s">
        <v>17</v>
      </c>
      <c r="K1201" s="3">
        <v>55927</v>
      </c>
    </row>
    <row r="1202" spans="1:11">
      <c r="A1202" s="3" t="s">
        <v>2380</v>
      </c>
      <c r="B1202" s="3" t="s">
        <v>109</v>
      </c>
      <c r="C1202" s="3" t="s">
        <v>135</v>
      </c>
      <c r="D1202" s="3" t="s">
        <v>648</v>
      </c>
      <c r="E1202" s="3" t="s">
        <v>65</v>
      </c>
      <c r="F1202" s="3">
        <v>34</v>
      </c>
      <c r="G1202" s="3" t="s">
        <v>16</v>
      </c>
      <c r="H1202" s="3" t="s">
        <v>1267</v>
      </c>
      <c r="I1202" s="3"/>
      <c r="J1202" s="3" t="s">
        <v>17</v>
      </c>
      <c r="K1202" s="3">
        <v>18000</v>
      </c>
    </row>
    <row r="1203" spans="1:11">
      <c r="A1203" s="3" t="s">
        <v>2381</v>
      </c>
      <c r="B1203" s="3" t="s">
        <v>238</v>
      </c>
      <c r="C1203" s="3" t="s">
        <v>83</v>
      </c>
      <c r="D1203" s="3" t="s">
        <v>43</v>
      </c>
      <c r="E1203" s="3" t="s">
        <v>44</v>
      </c>
      <c r="F1203" s="3">
        <v>33</v>
      </c>
      <c r="G1203" s="3" t="s">
        <v>23</v>
      </c>
      <c r="H1203" s="3" t="s">
        <v>2382</v>
      </c>
      <c r="I1203" s="3"/>
      <c r="J1203" s="3" t="s">
        <v>17</v>
      </c>
      <c r="K1203" s="3">
        <v>72605</v>
      </c>
    </row>
    <row r="1204" spans="1:11">
      <c r="A1204" s="3" t="s">
        <v>2383</v>
      </c>
      <c r="B1204" s="3" t="s">
        <v>90</v>
      </c>
      <c r="C1204" s="3" t="s">
        <v>69</v>
      </c>
      <c r="D1204" s="3" t="s">
        <v>21</v>
      </c>
      <c r="E1204" s="3" t="s">
        <v>155</v>
      </c>
      <c r="F1204" s="3">
        <v>30</v>
      </c>
      <c r="G1204" s="3" t="s">
        <v>16</v>
      </c>
      <c r="H1204" s="3" t="s">
        <v>2384</v>
      </c>
      <c r="I1204" s="3"/>
      <c r="J1204" s="3" t="s">
        <v>17</v>
      </c>
      <c r="K1204" s="3">
        <v>68696</v>
      </c>
    </row>
    <row r="1205" spans="1:11">
      <c r="A1205" s="3" t="s">
        <v>2385</v>
      </c>
      <c r="B1205" s="3" t="s">
        <v>58</v>
      </c>
      <c r="C1205" s="3" t="s">
        <v>113</v>
      </c>
      <c r="D1205" s="3" t="s">
        <v>21</v>
      </c>
      <c r="E1205" s="3" t="s">
        <v>87</v>
      </c>
      <c r="F1205" s="3">
        <v>36</v>
      </c>
      <c r="G1205" s="3" t="s">
        <v>16</v>
      </c>
      <c r="H1205" s="3" t="s">
        <v>1055</v>
      </c>
      <c r="I1205" s="3"/>
      <c r="J1205" s="3" t="s">
        <v>17</v>
      </c>
      <c r="K1205" s="3">
        <v>65574</v>
      </c>
    </row>
    <row r="1206" spans="1:11">
      <c r="A1206" s="3" t="s">
        <v>2386</v>
      </c>
      <c r="B1206" s="3" t="s">
        <v>121</v>
      </c>
      <c r="C1206" s="3" t="s">
        <v>94</v>
      </c>
      <c r="D1206" s="3" t="s">
        <v>118</v>
      </c>
      <c r="E1206" s="3" t="s">
        <v>48</v>
      </c>
      <c r="F1206" s="3">
        <v>31</v>
      </c>
      <c r="G1206" s="3" t="s">
        <v>23</v>
      </c>
      <c r="H1206" s="3" t="s">
        <v>2299</v>
      </c>
      <c r="I1206" s="3"/>
      <c r="J1206" s="3" t="s">
        <v>17</v>
      </c>
      <c r="K1206" s="3">
        <v>29184</v>
      </c>
    </row>
    <row r="1207" spans="1:11">
      <c r="A1207" s="3" t="s">
        <v>2387</v>
      </c>
      <c r="B1207" s="3" t="s">
        <v>128</v>
      </c>
      <c r="C1207" s="3" t="s">
        <v>103</v>
      </c>
      <c r="D1207" s="3" t="s">
        <v>64</v>
      </c>
      <c r="E1207" s="3" t="s">
        <v>65</v>
      </c>
      <c r="F1207" s="3">
        <v>40</v>
      </c>
      <c r="G1207" s="3" t="s">
        <v>16</v>
      </c>
      <c r="H1207" s="3" t="s">
        <v>2388</v>
      </c>
      <c r="I1207" s="3"/>
      <c r="J1207" s="3" t="s">
        <v>17</v>
      </c>
      <c r="K1207" s="3">
        <v>78371</v>
      </c>
    </row>
    <row r="1208" spans="1:11">
      <c r="A1208" s="3" t="s">
        <v>2389</v>
      </c>
      <c r="B1208" s="3" t="s">
        <v>25</v>
      </c>
      <c r="C1208" s="3" t="s">
        <v>249</v>
      </c>
      <c r="D1208" s="3" t="s">
        <v>43</v>
      </c>
      <c r="E1208" s="3" t="s">
        <v>48</v>
      </c>
      <c r="F1208" s="3">
        <v>33</v>
      </c>
      <c r="G1208" s="3" t="s">
        <v>16</v>
      </c>
      <c r="H1208" s="3" t="s">
        <v>340</v>
      </c>
      <c r="I1208" s="3"/>
      <c r="J1208" s="3" t="s">
        <v>17</v>
      </c>
      <c r="K1208" s="3">
        <v>55853</v>
      </c>
    </row>
    <row r="1209" spans="1:11">
      <c r="A1209" s="3" t="s">
        <v>2390</v>
      </c>
      <c r="B1209" s="3" t="s">
        <v>93</v>
      </c>
      <c r="C1209" s="3" t="s">
        <v>74</v>
      </c>
      <c r="D1209" s="3" t="s">
        <v>21</v>
      </c>
      <c r="E1209" s="3" t="s">
        <v>87</v>
      </c>
      <c r="F1209" s="3">
        <v>23</v>
      </c>
      <c r="G1209" s="3" t="s">
        <v>23</v>
      </c>
      <c r="H1209" s="3" t="s">
        <v>2391</v>
      </c>
      <c r="I1209" s="3"/>
      <c r="J1209" s="3" t="s">
        <v>17</v>
      </c>
      <c r="K1209" s="3">
        <v>62541</v>
      </c>
    </row>
    <row r="1210" spans="1:11">
      <c r="A1210" s="3" t="s">
        <v>2392</v>
      </c>
      <c r="B1210" s="3" t="s">
        <v>216</v>
      </c>
      <c r="C1210" s="3" t="s">
        <v>94</v>
      </c>
      <c r="D1210" s="3" t="s">
        <v>21</v>
      </c>
      <c r="E1210" s="3" t="s">
        <v>95</v>
      </c>
      <c r="F1210" s="3">
        <v>28</v>
      </c>
      <c r="G1210" s="3" t="s">
        <v>23</v>
      </c>
      <c r="H1210" s="3" t="s">
        <v>2393</v>
      </c>
      <c r="I1210" s="3"/>
      <c r="J1210" s="3" t="s">
        <v>17</v>
      </c>
      <c r="K1210" s="3">
        <v>54918</v>
      </c>
    </row>
    <row r="1211" spans="1:11">
      <c r="A1211" s="3" t="s">
        <v>2394</v>
      </c>
      <c r="B1211" s="3" t="s">
        <v>106</v>
      </c>
      <c r="C1211" s="3" t="s">
        <v>94</v>
      </c>
      <c r="D1211" s="3" t="s">
        <v>43</v>
      </c>
      <c r="E1211" s="3" t="s">
        <v>48</v>
      </c>
      <c r="F1211" s="3">
        <v>32</v>
      </c>
      <c r="G1211" s="3" t="s">
        <v>16</v>
      </c>
      <c r="H1211" s="3" t="s">
        <v>2395</v>
      </c>
      <c r="I1211" s="3"/>
      <c r="J1211" s="3" t="s">
        <v>17</v>
      </c>
      <c r="K1211" s="3">
        <v>72625</v>
      </c>
    </row>
    <row r="1212" spans="1:11">
      <c r="A1212" s="3" t="s">
        <v>2396</v>
      </c>
      <c r="B1212" s="3" t="s">
        <v>25</v>
      </c>
      <c r="C1212" s="3" t="s">
        <v>164</v>
      </c>
      <c r="D1212" s="3" t="s">
        <v>43</v>
      </c>
      <c r="E1212" s="3" t="s">
        <v>48</v>
      </c>
      <c r="F1212" s="3">
        <v>32</v>
      </c>
      <c r="G1212" s="3" t="s">
        <v>16</v>
      </c>
      <c r="H1212" s="3" t="s">
        <v>2397</v>
      </c>
      <c r="I1212" s="3"/>
      <c r="J1212" s="3" t="s">
        <v>17</v>
      </c>
      <c r="K1212" s="3">
        <v>60141</v>
      </c>
    </row>
    <row r="1213" spans="1:11">
      <c r="A1213" s="3" t="s">
        <v>2398</v>
      </c>
      <c r="B1213" s="3" t="s">
        <v>238</v>
      </c>
      <c r="C1213" s="3" t="s">
        <v>26</v>
      </c>
      <c r="D1213" s="3" t="s">
        <v>27</v>
      </c>
      <c r="E1213" s="3" t="s">
        <v>54</v>
      </c>
      <c r="F1213" s="3">
        <v>21</v>
      </c>
      <c r="G1213" s="3" t="s">
        <v>16</v>
      </c>
      <c r="H1213" s="3" t="s">
        <v>2399</v>
      </c>
      <c r="I1213" s="3" t="s">
        <v>2249</v>
      </c>
      <c r="J1213" s="3" t="s">
        <v>51</v>
      </c>
      <c r="K1213" s="3">
        <v>30688</v>
      </c>
    </row>
    <row r="1214" spans="1:11">
      <c r="A1214" s="3" t="s">
        <v>2400</v>
      </c>
      <c r="B1214" s="3" t="s">
        <v>252</v>
      </c>
      <c r="C1214" s="3" t="s">
        <v>83</v>
      </c>
      <c r="D1214" s="3" t="s">
        <v>43</v>
      </c>
      <c r="E1214" s="3" t="s">
        <v>70</v>
      </c>
      <c r="F1214" s="3">
        <v>33</v>
      </c>
      <c r="G1214" s="3" t="s">
        <v>16</v>
      </c>
      <c r="H1214" s="3" t="s">
        <v>2401</v>
      </c>
      <c r="I1214" s="3"/>
      <c r="J1214" s="3" t="s">
        <v>17</v>
      </c>
      <c r="K1214" s="3">
        <v>70317</v>
      </c>
    </row>
    <row r="1215" spans="1:11">
      <c r="A1215" s="3" t="s">
        <v>2402</v>
      </c>
      <c r="B1215" s="3" t="s">
        <v>62</v>
      </c>
      <c r="C1215" s="3" t="s">
        <v>164</v>
      </c>
      <c r="D1215" s="3" t="s">
        <v>43</v>
      </c>
      <c r="E1215" s="3" t="s">
        <v>70</v>
      </c>
      <c r="F1215" s="3">
        <v>42</v>
      </c>
      <c r="G1215" s="3" t="s">
        <v>23</v>
      </c>
      <c r="H1215" s="3" t="s">
        <v>184</v>
      </c>
      <c r="I1215" s="3" t="s">
        <v>548</v>
      </c>
      <c r="J1215" s="3" t="s">
        <v>51</v>
      </c>
      <c r="K1215" s="3">
        <v>49347</v>
      </c>
    </row>
    <row r="1216" spans="1:11">
      <c r="A1216" s="3" t="s">
        <v>2403</v>
      </c>
      <c r="B1216" s="3" t="s">
        <v>25</v>
      </c>
      <c r="C1216" s="3" t="s">
        <v>146</v>
      </c>
      <c r="D1216" s="3" t="s">
        <v>118</v>
      </c>
      <c r="E1216" s="3" t="s">
        <v>70</v>
      </c>
      <c r="F1216" s="3">
        <v>32</v>
      </c>
      <c r="G1216" s="3" t="s">
        <v>16</v>
      </c>
      <c r="H1216" s="3" t="s">
        <v>307</v>
      </c>
      <c r="I1216" s="3"/>
      <c r="J1216" s="3" t="s">
        <v>17</v>
      </c>
      <c r="K1216" s="3">
        <v>64265</v>
      </c>
    </row>
    <row r="1217" spans="1:11">
      <c r="A1217" s="3" t="s">
        <v>2404</v>
      </c>
      <c r="B1217" s="3" t="s">
        <v>82</v>
      </c>
      <c r="C1217" s="3" t="s">
        <v>13</v>
      </c>
      <c r="D1217" s="3" t="s">
        <v>187</v>
      </c>
      <c r="E1217" s="3" t="s">
        <v>87</v>
      </c>
      <c r="F1217" s="3">
        <v>24</v>
      </c>
      <c r="G1217" s="3" t="s">
        <v>16</v>
      </c>
      <c r="H1217" s="3" t="s">
        <v>2405</v>
      </c>
      <c r="I1217" s="3" t="s">
        <v>1730</v>
      </c>
      <c r="J1217" s="3" t="s">
        <v>51</v>
      </c>
      <c r="K1217" s="3">
        <v>74646</v>
      </c>
    </row>
    <row r="1218" spans="1:11">
      <c r="A1218" s="3" t="s">
        <v>2406</v>
      </c>
      <c r="B1218" s="3" t="s">
        <v>186</v>
      </c>
      <c r="C1218" s="3" t="s">
        <v>164</v>
      </c>
      <c r="D1218" s="3" t="s">
        <v>43</v>
      </c>
      <c r="E1218" s="3" t="s">
        <v>48</v>
      </c>
      <c r="F1218" s="3">
        <v>30</v>
      </c>
      <c r="G1218" s="3" t="s">
        <v>16</v>
      </c>
      <c r="H1218" s="3" t="s">
        <v>2407</v>
      </c>
      <c r="I1218" s="3"/>
      <c r="J1218" s="3" t="s">
        <v>17</v>
      </c>
      <c r="K1218" s="3">
        <v>18000</v>
      </c>
    </row>
    <row r="1219" spans="1:11">
      <c r="A1219" s="3" t="s">
        <v>2408</v>
      </c>
      <c r="B1219" s="3" t="s">
        <v>86</v>
      </c>
      <c r="C1219" s="3" t="s">
        <v>129</v>
      </c>
      <c r="D1219" s="3" t="s">
        <v>64</v>
      </c>
      <c r="E1219" s="3" t="s">
        <v>65</v>
      </c>
      <c r="F1219" s="3">
        <v>28</v>
      </c>
      <c r="G1219" s="3" t="s">
        <v>16</v>
      </c>
      <c r="H1219" s="3" t="s">
        <v>1031</v>
      </c>
      <c r="I1219" s="3"/>
      <c r="J1219" s="3" t="s">
        <v>17</v>
      </c>
      <c r="K1219" s="3">
        <v>65083</v>
      </c>
    </row>
    <row r="1220" spans="1:11">
      <c r="A1220" s="3" t="s">
        <v>2409</v>
      </c>
      <c r="B1220" s="3" t="s">
        <v>90</v>
      </c>
      <c r="C1220" s="3" t="s">
        <v>129</v>
      </c>
      <c r="D1220" s="3" t="s">
        <v>27</v>
      </c>
      <c r="E1220" s="3" t="s">
        <v>28</v>
      </c>
      <c r="F1220" s="3">
        <v>40</v>
      </c>
      <c r="G1220" s="3" t="s">
        <v>23</v>
      </c>
      <c r="H1220" s="3" t="s">
        <v>2410</v>
      </c>
      <c r="I1220" s="3"/>
      <c r="J1220" s="3" t="s">
        <v>17</v>
      </c>
      <c r="K1220" s="3">
        <v>26580</v>
      </c>
    </row>
    <row r="1221" spans="1:11">
      <c r="A1221" s="3" t="s">
        <v>2411</v>
      </c>
      <c r="B1221" s="3" t="s">
        <v>152</v>
      </c>
      <c r="C1221" s="3" t="s">
        <v>83</v>
      </c>
      <c r="D1221" s="3" t="s">
        <v>64</v>
      </c>
      <c r="E1221" s="3" t="s">
        <v>65</v>
      </c>
      <c r="F1221" s="3">
        <v>32</v>
      </c>
      <c r="G1221" s="3" t="s">
        <v>16</v>
      </c>
      <c r="H1221" s="3" t="s">
        <v>1630</v>
      </c>
      <c r="I1221" s="3"/>
      <c r="J1221" s="3" t="s">
        <v>17</v>
      </c>
      <c r="K1221" s="3">
        <v>43418</v>
      </c>
    </row>
    <row r="1222" spans="1:11">
      <c r="A1222" s="3" t="s">
        <v>2412</v>
      </c>
      <c r="B1222" s="3" t="s">
        <v>41</v>
      </c>
      <c r="C1222" s="3" t="s">
        <v>13</v>
      </c>
      <c r="D1222" s="3" t="s">
        <v>21</v>
      </c>
      <c r="E1222" s="3" t="s">
        <v>22</v>
      </c>
      <c r="F1222">
        <v>32</v>
      </c>
      <c r="G1222" s="3" t="s">
        <v>16</v>
      </c>
      <c r="H1222" s="3" t="s">
        <v>2413</v>
      </c>
      <c r="I1222" s="3"/>
      <c r="J1222" s="3" t="s">
        <v>17</v>
      </c>
      <c r="K1222" s="3">
        <v>69428</v>
      </c>
    </row>
    <row r="1223" spans="1:11">
      <c r="A1223" s="3" t="s">
        <v>2414</v>
      </c>
      <c r="B1223" s="3" t="s">
        <v>25</v>
      </c>
      <c r="C1223" s="3" t="s">
        <v>213</v>
      </c>
      <c r="D1223" s="3" t="s">
        <v>21</v>
      </c>
      <c r="E1223" s="3" t="s">
        <v>22</v>
      </c>
      <c r="F1223" s="3">
        <v>32</v>
      </c>
      <c r="G1223" s="3" t="s">
        <v>23</v>
      </c>
      <c r="H1223" s="3" t="s">
        <v>2415</v>
      </c>
      <c r="I1223" s="3"/>
      <c r="J1223" s="3" t="s">
        <v>17</v>
      </c>
      <c r="K1223" s="3">
        <v>78656</v>
      </c>
    </row>
    <row r="1224" spans="1:11">
      <c r="A1224" s="3" t="s">
        <v>2416</v>
      </c>
      <c r="B1224" s="3" t="s">
        <v>47</v>
      </c>
      <c r="C1224" s="3" t="s">
        <v>38</v>
      </c>
      <c r="D1224" s="3" t="s">
        <v>64</v>
      </c>
      <c r="E1224" s="3" t="s">
        <v>266</v>
      </c>
      <c r="F1224" s="3">
        <v>40</v>
      </c>
      <c r="G1224" s="3" t="s">
        <v>16</v>
      </c>
      <c r="H1224" s="3" t="s">
        <v>2417</v>
      </c>
      <c r="I1224" s="3"/>
      <c r="J1224" s="3" t="s">
        <v>17</v>
      </c>
      <c r="K1224" s="3">
        <v>64777</v>
      </c>
    </row>
    <row r="1225" spans="1:11">
      <c r="A1225" s="3" t="s">
        <v>2418</v>
      </c>
      <c r="B1225" s="3" t="s">
        <v>47</v>
      </c>
      <c r="C1225" s="3" t="s">
        <v>32</v>
      </c>
      <c r="D1225" s="3" t="s">
        <v>64</v>
      </c>
      <c r="E1225" s="3" t="s">
        <v>266</v>
      </c>
      <c r="F1225" s="3">
        <v>33</v>
      </c>
      <c r="G1225" s="3" t="s">
        <v>23</v>
      </c>
      <c r="H1225" s="3" t="s">
        <v>2419</v>
      </c>
      <c r="I1225" s="3"/>
      <c r="J1225" s="3" t="s">
        <v>17</v>
      </c>
      <c r="K1225" s="3">
        <v>61639</v>
      </c>
    </row>
    <row r="1226" spans="1:11">
      <c r="A1226" s="3" t="s">
        <v>2420</v>
      </c>
      <c r="B1226" s="3" t="s">
        <v>401</v>
      </c>
      <c r="C1226" s="3" t="s">
        <v>129</v>
      </c>
      <c r="D1226" s="3" t="s">
        <v>21</v>
      </c>
      <c r="E1226" s="3" t="s">
        <v>87</v>
      </c>
      <c r="F1226" s="3">
        <v>40</v>
      </c>
      <c r="G1226" s="3" t="s">
        <v>16</v>
      </c>
      <c r="H1226" s="3" t="s">
        <v>2421</v>
      </c>
      <c r="I1226" s="3"/>
      <c r="J1226" s="3" t="s">
        <v>17</v>
      </c>
      <c r="K1226" s="3">
        <v>61473</v>
      </c>
    </row>
    <row r="1227" spans="1:11">
      <c r="A1227" s="3" t="s">
        <v>2422</v>
      </c>
      <c r="B1227" s="3" t="s">
        <v>226</v>
      </c>
      <c r="C1227" s="3" t="s">
        <v>42</v>
      </c>
      <c r="D1227" s="3" t="s">
        <v>43</v>
      </c>
      <c r="E1227" s="3" t="s">
        <v>48</v>
      </c>
      <c r="F1227" s="3">
        <v>46</v>
      </c>
      <c r="G1227" s="3" t="s">
        <v>16</v>
      </c>
      <c r="H1227" s="3" t="s">
        <v>2423</v>
      </c>
      <c r="I1227" s="3"/>
      <c r="J1227" s="3" t="s">
        <v>17</v>
      </c>
      <c r="K1227" s="3">
        <v>55359</v>
      </c>
    </row>
    <row r="1228" spans="1:11">
      <c r="A1228" s="3" t="s">
        <v>2424</v>
      </c>
      <c r="B1228" s="3" t="s">
        <v>78</v>
      </c>
      <c r="C1228" s="3" t="s">
        <v>135</v>
      </c>
      <c r="D1228" s="3" t="s">
        <v>21</v>
      </c>
      <c r="E1228" s="3" t="s">
        <v>22</v>
      </c>
      <c r="F1228" s="3">
        <v>34</v>
      </c>
      <c r="G1228" s="3" t="s">
        <v>23</v>
      </c>
      <c r="H1228" s="3" t="s">
        <v>2425</v>
      </c>
      <c r="I1228" s="3"/>
      <c r="J1228" s="3" t="s">
        <v>17</v>
      </c>
      <c r="K1228" s="3">
        <v>47133</v>
      </c>
    </row>
    <row r="1229" spans="1:11">
      <c r="A1229" s="3" t="s">
        <v>2426</v>
      </c>
      <c r="B1229" s="3" t="s">
        <v>58</v>
      </c>
      <c r="C1229" s="3" t="s">
        <v>205</v>
      </c>
      <c r="D1229" s="3" t="s">
        <v>594</v>
      </c>
      <c r="E1229" s="3" t="s">
        <v>65</v>
      </c>
      <c r="F1229" s="3">
        <v>21</v>
      </c>
      <c r="G1229" s="3" t="s">
        <v>16</v>
      </c>
      <c r="H1229" s="3" t="s">
        <v>2427</v>
      </c>
      <c r="I1229" s="3"/>
      <c r="J1229" s="3" t="s">
        <v>17</v>
      </c>
      <c r="K1229" s="3">
        <v>82658</v>
      </c>
    </row>
    <row r="1230" spans="1:11">
      <c r="A1230" s="3" t="s">
        <v>2428</v>
      </c>
      <c r="B1230" s="3" t="s">
        <v>93</v>
      </c>
      <c r="C1230" s="3" t="s">
        <v>53</v>
      </c>
      <c r="D1230" s="3" t="s">
        <v>118</v>
      </c>
      <c r="E1230" s="3" t="s">
        <v>70</v>
      </c>
      <c r="F1230" s="3">
        <v>34</v>
      </c>
      <c r="G1230" s="3" t="s">
        <v>16</v>
      </c>
      <c r="H1230" s="3" t="s">
        <v>2429</v>
      </c>
      <c r="I1230" s="3"/>
      <c r="J1230" s="3" t="s">
        <v>17</v>
      </c>
      <c r="K1230" s="3">
        <v>37120</v>
      </c>
    </row>
    <row r="1231" spans="1:11">
      <c r="A1231" s="3" t="s">
        <v>2430</v>
      </c>
      <c r="B1231" s="3" t="s">
        <v>93</v>
      </c>
      <c r="C1231" s="3" t="s">
        <v>177</v>
      </c>
      <c r="D1231" s="3" t="s">
        <v>64</v>
      </c>
      <c r="E1231" s="3" t="s">
        <v>65</v>
      </c>
      <c r="F1231" s="3">
        <v>21</v>
      </c>
      <c r="G1231" s="3" t="s">
        <v>16</v>
      </c>
      <c r="H1231" s="3" t="s">
        <v>1103</v>
      </c>
      <c r="I1231" s="3" t="s">
        <v>2431</v>
      </c>
      <c r="J1231" s="3" t="s">
        <v>51</v>
      </c>
      <c r="K1231" s="3">
        <v>81898</v>
      </c>
    </row>
    <row r="1232" spans="1:11">
      <c r="A1232" s="3" t="s">
        <v>2432</v>
      </c>
      <c r="B1232" s="3" t="s">
        <v>216</v>
      </c>
      <c r="C1232" s="3" t="s">
        <v>174</v>
      </c>
      <c r="D1232" s="3" t="s">
        <v>27</v>
      </c>
      <c r="E1232" s="3" t="s">
        <v>122</v>
      </c>
      <c r="F1232">
        <v>32</v>
      </c>
      <c r="G1232" s="3" t="s">
        <v>16</v>
      </c>
      <c r="H1232" s="3" t="s">
        <v>2433</v>
      </c>
      <c r="I1232" s="3"/>
      <c r="J1232" s="3" t="s">
        <v>17</v>
      </c>
      <c r="K1232" s="3">
        <v>92785</v>
      </c>
    </row>
    <row r="1233" spans="1:11">
      <c r="A1233" s="3" t="s">
        <v>2434</v>
      </c>
      <c r="B1233" s="3" t="s">
        <v>160</v>
      </c>
      <c r="C1233" s="3" t="s">
        <v>113</v>
      </c>
      <c r="D1233" s="3" t="s">
        <v>21</v>
      </c>
      <c r="E1233" s="3" t="s">
        <v>87</v>
      </c>
      <c r="F1233" s="3">
        <v>28</v>
      </c>
      <c r="G1233" s="3" t="s">
        <v>23</v>
      </c>
      <c r="H1233" s="3" t="s">
        <v>2435</v>
      </c>
      <c r="I1233" s="3"/>
      <c r="J1233" s="3" t="s">
        <v>17</v>
      </c>
      <c r="K1233" s="3">
        <v>85039</v>
      </c>
    </row>
    <row r="1234" spans="1:11">
      <c r="A1234" s="3" t="s">
        <v>2436</v>
      </c>
      <c r="B1234" s="3" t="s">
        <v>160</v>
      </c>
      <c r="C1234" s="3" t="s">
        <v>42</v>
      </c>
      <c r="D1234" s="3" t="s">
        <v>33</v>
      </c>
      <c r="E1234" s="3" t="s">
        <v>34</v>
      </c>
      <c r="F1234" s="3">
        <v>30</v>
      </c>
      <c r="G1234" s="3" t="s">
        <v>23</v>
      </c>
      <c r="H1234" s="3" t="s">
        <v>2437</v>
      </c>
      <c r="I1234" s="3" t="s">
        <v>2438</v>
      </c>
      <c r="J1234" s="3" t="s">
        <v>51</v>
      </c>
      <c r="K1234" s="3">
        <v>37549</v>
      </c>
    </row>
    <row r="1235" spans="1:11">
      <c r="A1235" s="3" t="s">
        <v>2439</v>
      </c>
      <c r="B1235" s="3" t="s">
        <v>41</v>
      </c>
      <c r="C1235" s="3" t="s">
        <v>213</v>
      </c>
      <c r="D1235" s="3" t="s">
        <v>27</v>
      </c>
      <c r="E1235" s="3" t="s">
        <v>122</v>
      </c>
      <c r="F1235" s="3">
        <v>38</v>
      </c>
      <c r="G1235" s="3" t="s">
        <v>16</v>
      </c>
      <c r="H1235" s="3" t="s">
        <v>481</v>
      </c>
      <c r="I1235" s="3"/>
      <c r="J1235" s="3" t="s">
        <v>17</v>
      </c>
      <c r="K1235" s="3">
        <v>26208</v>
      </c>
    </row>
    <row r="1236" spans="1:11">
      <c r="A1236" s="3" t="s">
        <v>2440</v>
      </c>
      <c r="B1236" s="3" t="s">
        <v>238</v>
      </c>
      <c r="C1236" s="3" t="s">
        <v>103</v>
      </c>
      <c r="D1236" s="3" t="s">
        <v>64</v>
      </c>
      <c r="E1236" s="3" t="s">
        <v>161</v>
      </c>
      <c r="F1236" s="3">
        <v>32</v>
      </c>
      <c r="G1236" s="3" t="s">
        <v>16</v>
      </c>
      <c r="H1236" s="3" t="s">
        <v>2441</v>
      </c>
      <c r="I1236" s="3"/>
      <c r="J1236" s="3" t="s">
        <v>17</v>
      </c>
      <c r="K1236" s="3">
        <v>37054</v>
      </c>
    </row>
    <row r="1237" spans="1:11">
      <c r="A1237" s="3" t="s">
        <v>2442</v>
      </c>
      <c r="B1237" s="3" t="s">
        <v>93</v>
      </c>
      <c r="C1237" s="3" t="s">
        <v>177</v>
      </c>
      <c r="D1237" s="3" t="s">
        <v>27</v>
      </c>
      <c r="E1237" s="3" t="s">
        <v>54</v>
      </c>
      <c r="F1237" s="3">
        <v>29</v>
      </c>
      <c r="G1237" s="3" t="s">
        <v>16</v>
      </c>
      <c r="H1237" s="3" t="s">
        <v>224</v>
      </c>
      <c r="I1237" s="3"/>
      <c r="J1237" s="3" t="s">
        <v>17</v>
      </c>
      <c r="K1237" s="3">
        <v>44881</v>
      </c>
    </row>
    <row r="1238" spans="1:11">
      <c r="A1238" s="3" t="s">
        <v>2443</v>
      </c>
      <c r="B1238" s="3" t="s">
        <v>223</v>
      </c>
      <c r="C1238" s="3" t="s">
        <v>26</v>
      </c>
      <c r="D1238" s="3" t="s">
        <v>27</v>
      </c>
      <c r="E1238" s="3" t="s">
        <v>28</v>
      </c>
      <c r="F1238" s="3">
        <v>26</v>
      </c>
      <c r="G1238" s="3" t="s">
        <v>16</v>
      </c>
      <c r="H1238" s="3" t="s">
        <v>180</v>
      </c>
      <c r="I1238" s="3"/>
      <c r="J1238" s="3" t="s">
        <v>17</v>
      </c>
      <c r="K1238" s="3">
        <v>50332</v>
      </c>
    </row>
    <row r="1239" spans="1:11">
      <c r="A1239" s="3" t="s">
        <v>2444</v>
      </c>
      <c r="B1239" s="3" t="s">
        <v>298</v>
      </c>
      <c r="C1239" s="3" t="s">
        <v>38</v>
      </c>
      <c r="D1239" s="3" t="s">
        <v>64</v>
      </c>
      <c r="E1239" s="3" t="s">
        <v>161</v>
      </c>
      <c r="F1239" s="3">
        <v>29</v>
      </c>
      <c r="G1239" s="3" t="s">
        <v>16</v>
      </c>
      <c r="H1239" s="3" t="s">
        <v>1495</v>
      </c>
      <c r="I1239" s="3"/>
      <c r="J1239" s="3" t="s">
        <v>17</v>
      </c>
      <c r="K1239" s="3">
        <v>54985</v>
      </c>
    </row>
    <row r="1240" spans="1:11">
      <c r="A1240" s="3" t="s">
        <v>2445</v>
      </c>
      <c r="B1240" s="3" t="s">
        <v>73</v>
      </c>
      <c r="C1240" s="3" t="s">
        <v>63</v>
      </c>
      <c r="D1240" s="3" t="s">
        <v>27</v>
      </c>
      <c r="E1240" s="3" t="s">
        <v>28</v>
      </c>
      <c r="F1240" s="3">
        <v>49</v>
      </c>
      <c r="G1240" s="3" t="s">
        <v>23</v>
      </c>
      <c r="H1240" s="3" t="s">
        <v>2446</v>
      </c>
      <c r="I1240" s="3"/>
      <c r="J1240" s="3" t="s">
        <v>17</v>
      </c>
      <c r="K1240" s="3">
        <v>18000</v>
      </c>
    </row>
    <row r="1241" spans="1:11">
      <c r="A1241" s="3" t="s">
        <v>2447</v>
      </c>
      <c r="B1241" s="3" t="s">
        <v>82</v>
      </c>
      <c r="C1241" s="3" t="s">
        <v>177</v>
      </c>
      <c r="D1241" s="3" t="s">
        <v>21</v>
      </c>
      <c r="E1241" s="3" t="s">
        <v>155</v>
      </c>
      <c r="F1241" s="3">
        <v>25</v>
      </c>
      <c r="G1241" s="3" t="s">
        <v>23</v>
      </c>
      <c r="H1241" s="3" t="s">
        <v>2448</v>
      </c>
      <c r="I1241" s="3"/>
      <c r="J1241" s="3" t="s">
        <v>17</v>
      </c>
      <c r="K1241" s="3">
        <v>63478</v>
      </c>
    </row>
    <row r="1242" spans="1:11">
      <c r="A1242" s="3" t="s">
        <v>2449</v>
      </c>
      <c r="B1242" s="3" t="s">
        <v>31</v>
      </c>
      <c r="C1242" s="3" t="s">
        <v>174</v>
      </c>
      <c r="D1242" s="3" t="s">
        <v>118</v>
      </c>
      <c r="E1242" s="3" t="s">
        <v>48</v>
      </c>
      <c r="F1242" s="3">
        <v>30</v>
      </c>
      <c r="G1242" s="3" t="s">
        <v>23</v>
      </c>
      <c r="H1242" s="3" t="s">
        <v>1247</v>
      </c>
      <c r="I1242" s="3"/>
      <c r="J1242" s="3" t="s">
        <v>17</v>
      </c>
      <c r="K1242" s="3">
        <v>56149</v>
      </c>
    </row>
    <row r="1243" spans="1:11">
      <c r="A1243" s="3" t="s">
        <v>2450</v>
      </c>
      <c r="B1243" s="3" t="s">
        <v>78</v>
      </c>
      <c r="C1243" s="3" t="s">
        <v>135</v>
      </c>
      <c r="D1243" s="3" t="s">
        <v>27</v>
      </c>
      <c r="E1243" s="3" t="s">
        <v>122</v>
      </c>
      <c r="F1243" s="3">
        <v>31</v>
      </c>
      <c r="G1243" s="3" t="s">
        <v>16</v>
      </c>
      <c r="H1243" s="3" t="s">
        <v>479</v>
      </c>
      <c r="I1243" s="3" t="s">
        <v>2451</v>
      </c>
      <c r="J1243" s="3" t="s">
        <v>51</v>
      </c>
      <c r="K1243" s="3">
        <v>88789</v>
      </c>
    </row>
    <row r="1244" spans="1:11">
      <c r="A1244" s="3" t="s">
        <v>2452</v>
      </c>
      <c r="B1244" s="3" t="s">
        <v>238</v>
      </c>
      <c r="C1244" s="3" t="s">
        <v>205</v>
      </c>
      <c r="D1244" s="3" t="s">
        <v>64</v>
      </c>
      <c r="E1244" s="3" t="s">
        <v>65</v>
      </c>
      <c r="F1244" s="3">
        <v>31</v>
      </c>
      <c r="G1244" s="3" t="s">
        <v>16</v>
      </c>
      <c r="H1244" s="3" t="s">
        <v>2152</v>
      </c>
      <c r="I1244" s="3"/>
      <c r="J1244" s="3" t="s">
        <v>17</v>
      </c>
      <c r="K1244" s="3">
        <v>40467</v>
      </c>
    </row>
    <row r="1245" spans="1:11">
      <c r="A1245" s="3" t="s">
        <v>2453</v>
      </c>
      <c r="B1245" s="3" t="s">
        <v>128</v>
      </c>
      <c r="C1245" s="3" t="s">
        <v>129</v>
      </c>
      <c r="D1245" s="3" t="s">
        <v>33</v>
      </c>
      <c r="E1245" s="3" t="s">
        <v>34</v>
      </c>
      <c r="F1245" s="3">
        <v>21</v>
      </c>
      <c r="G1245" s="3" t="s">
        <v>16</v>
      </c>
      <c r="H1245" s="3" t="s">
        <v>2454</v>
      </c>
      <c r="I1245" s="3"/>
      <c r="J1245" s="3" t="s">
        <v>17</v>
      </c>
      <c r="K1245" s="3">
        <v>31832</v>
      </c>
    </row>
    <row r="1246" spans="1:11">
      <c r="A1246" s="3" t="s">
        <v>2455</v>
      </c>
      <c r="B1246" s="3" t="s">
        <v>112</v>
      </c>
      <c r="C1246" s="3" t="s">
        <v>26</v>
      </c>
      <c r="D1246" s="3" t="s">
        <v>21</v>
      </c>
      <c r="E1246" s="3" t="s">
        <v>155</v>
      </c>
      <c r="F1246" s="3">
        <v>21</v>
      </c>
      <c r="G1246" s="3" t="s">
        <v>23</v>
      </c>
      <c r="H1246" s="3" t="s">
        <v>2456</v>
      </c>
      <c r="I1246" s="3" t="s">
        <v>2457</v>
      </c>
      <c r="J1246" s="3" t="s">
        <v>51</v>
      </c>
      <c r="K1246" s="3">
        <v>76820</v>
      </c>
    </row>
    <row r="1247" spans="1:11">
      <c r="A1247" s="3" t="s">
        <v>1144</v>
      </c>
      <c r="B1247" s="3" t="s">
        <v>134</v>
      </c>
      <c r="C1247" s="3" t="s">
        <v>26</v>
      </c>
      <c r="D1247" s="3" t="s">
        <v>33</v>
      </c>
      <c r="E1247" s="3" t="s">
        <v>79</v>
      </c>
      <c r="F1247" s="3">
        <v>29</v>
      </c>
      <c r="G1247" s="3" t="s">
        <v>16</v>
      </c>
      <c r="H1247" s="3" t="s">
        <v>1145</v>
      </c>
      <c r="I1247" s="3"/>
      <c r="J1247" s="3" t="s">
        <v>17</v>
      </c>
      <c r="K1247" s="3">
        <v>66676</v>
      </c>
    </row>
    <row r="1248" spans="1:11">
      <c r="A1248" s="3" t="s">
        <v>2458</v>
      </c>
      <c r="B1248" s="3" t="s">
        <v>37</v>
      </c>
      <c r="C1248" s="3" t="s">
        <v>59</v>
      </c>
      <c r="D1248" s="3" t="s">
        <v>27</v>
      </c>
      <c r="E1248" s="3" t="s">
        <v>54</v>
      </c>
      <c r="F1248" s="3">
        <v>32</v>
      </c>
      <c r="G1248" s="3" t="s">
        <v>23</v>
      </c>
      <c r="H1248" s="3" t="s">
        <v>1135</v>
      </c>
      <c r="I1248" s="3"/>
      <c r="J1248" s="3" t="s">
        <v>17</v>
      </c>
      <c r="K1248" s="3">
        <v>52177</v>
      </c>
    </row>
    <row r="1249" spans="1:11">
      <c r="A1249" s="3" t="s">
        <v>2459</v>
      </c>
      <c r="B1249" s="3" t="s">
        <v>216</v>
      </c>
      <c r="C1249" s="3" t="s">
        <v>146</v>
      </c>
      <c r="D1249" s="3" t="s">
        <v>21</v>
      </c>
      <c r="E1249" s="3" t="s">
        <v>22</v>
      </c>
      <c r="F1249" s="3">
        <v>32</v>
      </c>
      <c r="G1249" s="3" t="s">
        <v>23</v>
      </c>
      <c r="H1249" s="3" t="s">
        <v>2460</v>
      </c>
      <c r="I1249" s="3"/>
      <c r="J1249" s="3" t="s">
        <v>17</v>
      </c>
      <c r="K1249" s="3">
        <v>25590</v>
      </c>
    </row>
    <row r="1250" spans="1:11">
      <c r="A1250" s="3" t="s">
        <v>2461</v>
      </c>
      <c r="B1250" s="3" t="s">
        <v>186</v>
      </c>
      <c r="C1250" s="3" t="s">
        <v>59</v>
      </c>
      <c r="D1250" s="3" t="s">
        <v>99</v>
      </c>
      <c r="E1250" s="3" t="s">
        <v>79</v>
      </c>
      <c r="F1250" s="3">
        <v>38</v>
      </c>
      <c r="G1250" s="3" t="s">
        <v>16</v>
      </c>
      <c r="H1250" s="3" t="s">
        <v>2462</v>
      </c>
      <c r="I1250" s="3"/>
      <c r="J1250" s="3" t="s">
        <v>17</v>
      </c>
      <c r="K1250" s="3">
        <v>31691</v>
      </c>
    </row>
    <row r="1251" spans="1:11">
      <c r="A1251" s="3" t="s">
        <v>2463</v>
      </c>
      <c r="B1251" s="3" t="s">
        <v>109</v>
      </c>
      <c r="C1251" s="3" t="s">
        <v>113</v>
      </c>
      <c r="D1251" s="3" t="s">
        <v>43</v>
      </c>
      <c r="E1251" s="3" t="s">
        <v>44</v>
      </c>
      <c r="F1251" s="3">
        <v>44</v>
      </c>
      <c r="G1251" s="3" t="s">
        <v>16</v>
      </c>
      <c r="H1251" s="3" t="s">
        <v>1683</v>
      </c>
      <c r="I1251" s="3" t="s">
        <v>1405</v>
      </c>
      <c r="J1251" s="3" t="s">
        <v>51</v>
      </c>
      <c r="K1251" s="3">
        <v>42222</v>
      </c>
    </row>
    <row r="1252" spans="1:11">
      <c r="A1252" s="3" t="s">
        <v>2464</v>
      </c>
      <c r="B1252" s="3" t="s">
        <v>98</v>
      </c>
      <c r="C1252" s="3" t="s">
        <v>103</v>
      </c>
      <c r="D1252" s="3" t="s">
        <v>33</v>
      </c>
      <c r="E1252" s="3" t="s">
        <v>34</v>
      </c>
      <c r="F1252" s="3">
        <v>30</v>
      </c>
      <c r="G1252" s="3" t="s">
        <v>16</v>
      </c>
      <c r="H1252" s="3" t="s">
        <v>2465</v>
      </c>
      <c r="I1252" s="3"/>
      <c r="J1252" s="3" t="s">
        <v>17</v>
      </c>
      <c r="K1252" s="3">
        <v>89234</v>
      </c>
    </row>
    <row r="1253" spans="1:11">
      <c r="A1253" s="3" t="s">
        <v>2466</v>
      </c>
      <c r="B1253" s="3" t="s">
        <v>12</v>
      </c>
      <c r="C1253" s="3" t="s">
        <v>113</v>
      </c>
      <c r="D1253" s="3" t="s">
        <v>43</v>
      </c>
      <c r="E1253" s="3" t="s">
        <v>70</v>
      </c>
      <c r="F1253" s="3">
        <v>36</v>
      </c>
      <c r="G1253" s="3" t="s">
        <v>23</v>
      </c>
      <c r="H1253" s="3" t="s">
        <v>2467</v>
      </c>
      <c r="I1253" s="3"/>
      <c r="J1253" s="3" t="s">
        <v>17</v>
      </c>
      <c r="K1253" s="3">
        <v>50654</v>
      </c>
    </row>
    <row r="1254" spans="1:11">
      <c r="A1254" s="3" t="s">
        <v>2468</v>
      </c>
      <c r="B1254" s="3" t="s">
        <v>216</v>
      </c>
      <c r="C1254" s="3" t="s">
        <v>135</v>
      </c>
      <c r="D1254" s="3" t="s">
        <v>27</v>
      </c>
      <c r="E1254" s="3" t="s">
        <v>28</v>
      </c>
      <c r="F1254" s="3">
        <v>49</v>
      </c>
      <c r="G1254" s="3" t="s">
        <v>23</v>
      </c>
      <c r="H1254" s="3" t="s">
        <v>2469</v>
      </c>
      <c r="I1254" s="3"/>
      <c r="J1254" s="3" t="s">
        <v>17</v>
      </c>
      <c r="K1254" s="3">
        <v>36847</v>
      </c>
    </row>
    <row r="1255" spans="1:11">
      <c r="A1255" s="3" t="s">
        <v>2470</v>
      </c>
      <c r="B1255" s="3" t="s">
        <v>152</v>
      </c>
      <c r="C1255" s="3" t="s">
        <v>169</v>
      </c>
      <c r="D1255" s="3" t="s">
        <v>27</v>
      </c>
      <c r="E1255" s="3" t="s">
        <v>122</v>
      </c>
      <c r="F1255" s="3">
        <v>24</v>
      </c>
      <c r="G1255" s="3" t="s">
        <v>23</v>
      </c>
      <c r="H1255" s="3" t="s">
        <v>2471</v>
      </c>
      <c r="I1255" s="3"/>
      <c r="J1255" s="3" t="s">
        <v>17</v>
      </c>
      <c r="K1255" s="3">
        <v>61509</v>
      </c>
    </row>
    <row r="1256" spans="1:11">
      <c r="A1256" s="3" t="s">
        <v>2472</v>
      </c>
      <c r="B1256" s="3" t="s">
        <v>238</v>
      </c>
      <c r="C1256" s="3" t="s">
        <v>103</v>
      </c>
      <c r="D1256" s="3" t="s">
        <v>21</v>
      </c>
      <c r="E1256" s="3" t="s">
        <v>87</v>
      </c>
      <c r="F1256" s="3">
        <v>38</v>
      </c>
      <c r="G1256" s="3" t="s">
        <v>16</v>
      </c>
      <c r="H1256" s="3" t="s">
        <v>2473</v>
      </c>
      <c r="I1256" s="3" t="s">
        <v>716</v>
      </c>
      <c r="J1256" s="3" t="s">
        <v>51</v>
      </c>
      <c r="K1256" s="3">
        <v>50266</v>
      </c>
    </row>
    <row r="1257" spans="1:11">
      <c r="A1257" s="3" t="s">
        <v>2474</v>
      </c>
      <c r="B1257" s="3" t="s">
        <v>47</v>
      </c>
      <c r="C1257" s="3" t="s">
        <v>94</v>
      </c>
      <c r="D1257" s="3" t="s">
        <v>21</v>
      </c>
      <c r="E1257" s="3" t="s">
        <v>87</v>
      </c>
      <c r="F1257" s="3">
        <v>26</v>
      </c>
      <c r="G1257" s="3" t="s">
        <v>16</v>
      </c>
      <c r="H1257" s="3" t="s">
        <v>2475</v>
      </c>
      <c r="I1257" s="3"/>
      <c r="J1257" s="3" t="s">
        <v>17</v>
      </c>
      <c r="K1257" s="3">
        <v>76303</v>
      </c>
    </row>
    <row r="1258" spans="1:11">
      <c r="A1258" s="3" t="s">
        <v>2476</v>
      </c>
      <c r="B1258" s="3" t="s">
        <v>68</v>
      </c>
      <c r="C1258" s="3" t="s">
        <v>177</v>
      </c>
      <c r="D1258" s="3" t="s">
        <v>27</v>
      </c>
      <c r="E1258" s="3" t="s">
        <v>54</v>
      </c>
      <c r="F1258" s="3">
        <v>36</v>
      </c>
      <c r="G1258" s="3" t="s">
        <v>16</v>
      </c>
      <c r="H1258" s="3" t="s">
        <v>586</v>
      </c>
      <c r="I1258" s="3" t="s">
        <v>247</v>
      </c>
      <c r="J1258" s="3" t="s">
        <v>51</v>
      </c>
      <c r="K1258" s="3">
        <v>56093</v>
      </c>
    </row>
    <row r="1259" spans="1:11">
      <c r="A1259" s="3" t="s">
        <v>2477</v>
      </c>
      <c r="B1259" s="3" t="s">
        <v>160</v>
      </c>
      <c r="C1259" s="3" t="s">
        <v>83</v>
      </c>
      <c r="D1259" s="3" t="s">
        <v>64</v>
      </c>
      <c r="E1259" s="3" t="s">
        <v>161</v>
      </c>
      <c r="F1259" s="3">
        <v>34</v>
      </c>
      <c r="G1259" s="3" t="s">
        <v>23</v>
      </c>
      <c r="H1259" s="3" t="s">
        <v>2051</v>
      </c>
      <c r="I1259" s="3" t="s">
        <v>2478</v>
      </c>
      <c r="J1259" s="3" t="s">
        <v>51</v>
      </c>
      <c r="K1259" s="3">
        <v>61267</v>
      </c>
    </row>
    <row r="1260" spans="1:11">
      <c r="A1260" s="3" t="s">
        <v>2479</v>
      </c>
      <c r="B1260" s="3" t="s">
        <v>288</v>
      </c>
      <c r="C1260" s="3" t="s">
        <v>213</v>
      </c>
      <c r="D1260" s="3" t="s">
        <v>43</v>
      </c>
      <c r="E1260" s="3" t="s">
        <v>70</v>
      </c>
      <c r="F1260" s="3">
        <v>38</v>
      </c>
      <c r="G1260" s="3" t="s">
        <v>23</v>
      </c>
      <c r="H1260" s="3" t="s">
        <v>1490</v>
      </c>
      <c r="I1260" s="3"/>
      <c r="J1260" s="3" t="s">
        <v>17</v>
      </c>
      <c r="K1260" s="3">
        <v>67965</v>
      </c>
    </row>
    <row r="1261" spans="1:11">
      <c r="A1261" s="3" t="s">
        <v>2480</v>
      </c>
      <c r="B1261" s="3" t="s">
        <v>37</v>
      </c>
      <c r="C1261" s="3" t="s">
        <v>205</v>
      </c>
      <c r="D1261" s="3" t="s">
        <v>27</v>
      </c>
      <c r="E1261" s="3" t="s">
        <v>54</v>
      </c>
      <c r="F1261" s="3">
        <v>32</v>
      </c>
      <c r="G1261" s="3" t="s">
        <v>23</v>
      </c>
      <c r="H1261" s="3" t="s">
        <v>1855</v>
      </c>
      <c r="I1261" s="3"/>
      <c r="J1261" s="3" t="s">
        <v>17</v>
      </c>
      <c r="K1261" s="3">
        <v>31835</v>
      </c>
    </row>
    <row r="1262" spans="1:11">
      <c r="A1262" s="3" t="s">
        <v>2481</v>
      </c>
      <c r="B1262" s="3" t="s">
        <v>47</v>
      </c>
      <c r="C1262" s="3" t="s">
        <v>32</v>
      </c>
      <c r="D1262" s="3" t="s">
        <v>21</v>
      </c>
      <c r="E1262" s="3" t="s">
        <v>22</v>
      </c>
      <c r="F1262" s="3">
        <v>38</v>
      </c>
      <c r="G1262" s="3" t="s">
        <v>16</v>
      </c>
      <c r="H1262" s="3" t="s">
        <v>1471</v>
      </c>
      <c r="I1262" s="3" t="s">
        <v>2482</v>
      </c>
      <c r="J1262" s="3" t="s">
        <v>51</v>
      </c>
      <c r="K1262" s="3">
        <v>74472</v>
      </c>
    </row>
    <row r="1263" spans="1:11">
      <c r="A1263" s="3" t="s">
        <v>2483</v>
      </c>
      <c r="B1263" s="3" t="s">
        <v>37</v>
      </c>
      <c r="C1263" s="3" t="s">
        <v>205</v>
      </c>
      <c r="D1263" s="3" t="s">
        <v>43</v>
      </c>
      <c r="E1263" s="3" t="s">
        <v>48</v>
      </c>
      <c r="F1263" s="3">
        <v>43</v>
      </c>
      <c r="G1263" s="3" t="s">
        <v>23</v>
      </c>
      <c r="H1263" s="3" t="s">
        <v>1502</v>
      </c>
      <c r="I1263" s="3"/>
      <c r="J1263" s="3" t="s">
        <v>17</v>
      </c>
      <c r="K1263" s="3">
        <v>25352</v>
      </c>
    </row>
    <row r="1264" spans="1:11">
      <c r="A1264" s="3" t="s">
        <v>2484</v>
      </c>
      <c r="B1264" s="3" t="s">
        <v>90</v>
      </c>
      <c r="C1264" s="3" t="s">
        <v>146</v>
      </c>
      <c r="D1264" s="3" t="s">
        <v>187</v>
      </c>
      <c r="E1264" s="3" t="s">
        <v>95</v>
      </c>
      <c r="F1264" s="3">
        <v>22</v>
      </c>
      <c r="G1264" s="3" t="s">
        <v>16</v>
      </c>
      <c r="H1264" s="3" t="s">
        <v>2485</v>
      </c>
      <c r="I1264" s="3" t="s">
        <v>2486</v>
      </c>
      <c r="J1264" s="3" t="s">
        <v>51</v>
      </c>
      <c r="K1264" s="3">
        <v>50083</v>
      </c>
    </row>
    <row r="1265" spans="1:11">
      <c r="A1265" s="3" t="s">
        <v>2487</v>
      </c>
      <c r="B1265" s="3" t="s">
        <v>263</v>
      </c>
      <c r="C1265" s="3" t="s">
        <v>213</v>
      </c>
      <c r="D1265" s="3" t="s">
        <v>43</v>
      </c>
      <c r="E1265" s="3" t="s">
        <v>48</v>
      </c>
      <c r="F1265" s="3">
        <v>46</v>
      </c>
      <c r="G1265" s="3" t="s">
        <v>16</v>
      </c>
      <c r="H1265" s="3" t="s">
        <v>694</v>
      </c>
      <c r="I1265" s="3"/>
      <c r="J1265" s="3" t="s">
        <v>17</v>
      </c>
      <c r="K1265" s="3">
        <v>61597</v>
      </c>
    </row>
    <row r="1266" spans="1:11">
      <c r="A1266" s="3" t="s">
        <v>2488</v>
      </c>
      <c r="B1266" s="3" t="s">
        <v>93</v>
      </c>
      <c r="C1266" s="3" t="s">
        <v>164</v>
      </c>
      <c r="D1266" s="3" t="s">
        <v>14</v>
      </c>
      <c r="E1266" s="3" t="s">
        <v>75</v>
      </c>
      <c r="F1266" s="3">
        <v>34</v>
      </c>
      <c r="G1266" s="3" t="s">
        <v>16</v>
      </c>
      <c r="H1266" s="3" t="s">
        <v>760</v>
      </c>
      <c r="I1266" s="3"/>
      <c r="J1266" s="3" t="s">
        <v>17</v>
      </c>
      <c r="K1266" s="3">
        <v>18000</v>
      </c>
    </row>
    <row r="1267" spans="1:11">
      <c r="A1267" s="3" t="s">
        <v>2489</v>
      </c>
      <c r="B1267" s="3" t="s">
        <v>12</v>
      </c>
      <c r="C1267" s="3" t="s">
        <v>177</v>
      </c>
      <c r="D1267" s="3" t="s">
        <v>21</v>
      </c>
      <c r="E1267" s="3" t="s">
        <v>95</v>
      </c>
      <c r="F1267" s="3">
        <v>26</v>
      </c>
      <c r="G1267" s="3" t="s">
        <v>16</v>
      </c>
      <c r="H1267" s="3" t="s">
        <v>2490</v>
      </c>
      <c r="I1267" s="3"/>
      <c r="J1267" s="3" t="s">
        <v>17</v>
      </c>
      <c r="K1267" s="3">
        <v>49978</v>
      </c>
    </row>
    <row r="1268" spans="1:11">
      <c r="A1268" s="3" t="s">
        <v>2491</v>
      </c>
      <c r="B1268" s="3" t="s">
        <v>298</v>
      </c>
      <c r="C1268" s="3" t="s">
        <v>169</v>
      </c>
      <c r="D1268" s="3" t="s">
        <v>27</v>
      </c>
      <c r="E1268" s="3" t="s">
        <v>54</v>
      </c>
      <c r="F1268" s="3">
        <v>31</v>
      </c>
      <c r="G1268" s="3" t="s">
        <v>16</v>
      </c>
      <c r="H1268" s="3" t="s">
        <v>2492</v>
      </c>
      <c r="I1268" s="3"/>
      <c r="J1268" s="3" t="s">
        <v>17</v>
      </c>
      <c r="K1268" s="3">
        <v>102117</v>
      </c>
    </row>
    <row r="1269" spans="1:11">
      <c r="A1269" s="3" t="s">
        <v>2493</v>
      </c>
      <c r="B1269" s="3" t="s">
        <v>73</v>
      </c>
      <c r="C1269" s="3" t="s">
        <v>38</v>
      </c>
      <c r="D1269" s="3" t="s">
        <v>14</v>
      </c>
      <c r="E1269" s="3" t="s">
        <v>15</v>
      </c>
      <c r="F1269" s="3">
        <v>33</v>
      </c>
      <c r="G1269" s="3" t="s">
        <v>16</v>
      </c>
      <c r="H1269" s="3" t="s">
        <v>2494</v>
      </c>
      <c r="I1269" s="3"/>
      <c r="J1269" s="3" t="s">
        <v>17</v>
      </c>
      <c r="K1269" s="3">
        <v>31979</v>
      </c>
    </row>
    <row r="1270" spans="1:11">
      <c r="A1270" s="3" t="s">
        <v>2495</v>
      </c>
      <c r="B1270" s="3" t="s">
        <v>216</v>
      </c>
      <c r="C1270" s="3" t="s">
        <v>94</v>
      </c>
      <c r="D1270" s="3" t="s">
        <v>14</v>
      </c>
      <c r="E1270" s="3" t="s">
        <v>75</v>
      </c>
      <c r="F1270" s="3">
        <v>39</v>
      </c>
      <c r="G1270" s="3" t="s">
        <v>16</v>
      </c>
      <c r="H1270" s="3" t="s">
        <v>1135</v>
      </c>
      <c r="I1270" s="3" t="s">
        <v>1405</v>
      </c>
      <c r="J1270" s="3" t="s">
        <v>51</v>
      </c>
      <c r="K1270" s="3">
        <v>66511</v>
      </c>
    </row>
    <row r="1271" spans="1:11">
      <c r="A1271" s="3" t="s">
        <v>2496</v>
      </c>
      <c r="B1271" s="3" t="s">
        <v>47</v>
      </c>
      <c r="C1271" s="3" t="s">
        <v>174</v>
      </c>
      <c r="D1271" s="3" t="s">
        <v>43</v>
      </c>
      <c r="E1271" s="3" t="s">
        <v>48</v>
      </c>
      <c r="F1271" s="3">
        <v>47</v>
      </c>
      <c r="G1271" s="3" t="s">
        <v>23</v>
      </c>
      <c r="H1271" s="3" t="s">
        <v>1612</v>
      </c>
      <c r="I1271" s="3"/>
      <c r="J1271" s="3" t="s">
        <v>17</v>
      </c>
      <c r="K1271" s="3">
        <v>45960</v>
      </c>
    </row>
    <row r="1272" spans="1:11">
      <c r="A1272" s="3" t="s">
        <v>2497</v>
      </c>
      <c r="B1272" s="3" t="s">
        <v>31</v>
      </c>
      <c r="C1272" s="3" t="s">
        <v>59</v>
      </c>
      <c r="D1272" s="3" t="s">
        <v>43</v>
      </c>
      <c r="E1272" s="3" t="s">
        <v>70</v>
      </c>
      <c r="F1272" s="3">
        <v>21</v>
      </c>
      <c r="G1272" s="3" t="s">
        <v>16</v>
      </c>
      <c r="H1272" s="3" t="s">
        <v>449</v>
      </c>
      <c r="I1272" s="3"/>
      <c r="J1272" s="3" t="s">
        <v>17</v>
      </c>
      <c r="K1272" s="3">
        <v>76943</v>
      </c>
    </row>
    <row r="1273" spans="1:11">
      <c r="A1273" s="3" t="s">
        <v>2498</v>
      </c>
      <c r="B1273" s="3" t="s">
        <v>125</v>
      </c>
      <c r="C1273" s="3" t="s">
        <v>38</v>
      </c>
      <c r="D1273" s="3" t="s">
        <v>21</v>
      </c>
      <c r="E1273" s="3" t="s">
        <v>87</v>
      </c>
      <c r="F1273" s="3">
        <v>39</v>
      </c>
      <c r="G1273" s="3" t="s">
        <v>16</v>
      </c>
      <c r="H1273" s="3" t="s">
        <v>2499</v>
      </c>
      <c r="I1273" s="3"/>
      <c r="J1273" s="3" t="s">
        <v>17</v>
      </c>
      <c r="K1273" s="3">
        <v>35986</v>
      </c>
    </row>
    <row r="1274" spans="1:11">
      <c r="A1274" s="3" t="s">
        <v>2500</v>
      </c>
      <c r="B1274" s="3" t="s">
        <v>288</v>
      </c>
      <c r="C1274" s="3" t="s">
        <v>63</v>
      </c>
      <c r="D1274" s="3" t="s">
        <v>33</v>
      </c>
      <c r="E1274" s="3" t="s">
        <v>79</v>
      </c>
      <c r="F1274" s="3">
        <v>33</v>
      </c>
      <c r="G1274" s="3" t="s">
        <v>16</v>
      </c>
      <c r="H1274" s="3" t="s">
        <v>2076</v>
      </c>
      <c r="I1274" s="3"/>
      <c r="J1274" s="3" t="s">
        <v>17</v>
      </c>
      <c r="K1274" s="3">
        <v>57986</v>
      </c>
    </row>
    <row r="1275" spans="1:11">
      <c r="A1275" s="3" t="s">
        <v>2501</v>
      </c>
      <c r="B1275" s="3" t="s">
        <v>41</v>
      </c>
      <c r="C1275" s="3" t="s">
        <v>113</v>
      </c>
      <c r="D1275" s="3" t="s">
        <v>21</v>
      </c>
      <c r="E1275" s="3" t="s">
        <v>155</v>
      </c>
      <c r="F1275" s="3">
        <v>25</v>
      </c>
      <c r="G1275" s="3" t="s">
        <v>16</v>
      </c>
      <c r="H1275" s="4">
        <v>44081</v>
      </c>
      <c r="I1275" s="3"/>
      <c r="J1275" s="3" t="s">
        <v>17</v>
      </c>
      <c r="K1275" s="3">
        <v>60742</v>
      </c>
    </row>
    <row r="1276" spans="1:11">
      <c r="A1276" s="3" t="s">
        <v>2502</v>
      </c>
      <c r="B1276" s="3" t="s">
        <v>86</v>
      </c>
      <c r="C1276" s="3" t="s">
        <v>59</v>
      </c>
      <c r="D1276" s="3" t="s">
        <v>43</v>
      </c>
      <c r="E1276" s="3" t="s">
        <v>48</v>
      </c>
      <c r="F1276" s="3">
        <v>28</v>
      </c>
      <c r="G1276" s="3" t="s">
        <v>16</v>
      </c>
      <c r="H1276" s="3" t="s">
        <v>794</v>
      </c>
      <c r="I1276" s="3"/>
      <c r="J1276" s="3" t="s">
        <v>17</v>
      </c>
      <c r="K1276" s="3">
        <v>33849</v>
      </c>
    </row>
    <row r="1277" spans="1:11">
      <c r="A1277" s="3" t="s">
        <v>2503</v>
      </c>
      <c r="B1277" s="3" t="s">
        <v>37</v>
      </c>
      <c r="C1277" s="3" t="s">
        <v>63</v>
      </c>
      <c r="D1277" s="3" t="s">
        <v>27</v>
      </c>
      <c r="E1277" s="3" t="s">
        <v>122</v>
      </c>
      <c r="F1277" s="3">
        <v>32</v>
      </c>
      <c r="G1277" s="3" t="s">
        <v>23</v>
      </c>
      <c r="H1277" s="3" t="s">
        <v>2504</v>
      </c>
      <c r="I1277" s="3"/>
      <c r="J1277" s="3" t="s">
        <v>17</v>
      </c>
      <c r="K1277" s="3">
        <v>34844</v>
      </c>
    </row>
    <row r="1278" spans="1:11">
      <c r="A1278" s="3" t="s">
        <v>2505</v>
      </c>
      <c r="B1278" s="3" t="s">
        <v>78</v>
      </c>
      <c r="C1278" s="3" t="s">
        <v>135</v>
      </c>
      <c r="D1278" s="3" t="s">
        <v>43</v>
      </c>
      <c r="E1278" s="3" t="s">
        <v>70</v>
      </c>
      <c r="F1278" s="3">
        <v>25</v>
      </c>
      <c r="G1278" s="3" t="s">
        <v>16</v>
      </c>
      <c r="H1278" s="3" t="s">
        <v>2506</v>
      </c>
      <c r="I1278" s="3"/>
      <c r="J1278" s="3" t="s">
        <v>17</v>
      </c>
      <c r="K1278" s="3">
        <v>39606</v>
      </c>
    </row>
    <row r="1279" spans="1:11">
      <c r="A1279" s="3" t="s">
        <v>2507</v>
      </c>
      <c r="B1279" s="3" t="s">
        <v>145</v>
      </c>
      <c r="C1279" s="3" t="s">
        <v>177</v>
      </c>
      <c r="D1279" s="3" t="s">
        <v>27</v>
      </c>
      <c r="E1279" s="3" t="s">
        <v>122</v>
      </c>
      <c r="F1279" s="3">
        <v>38</v>
      </c>
      <c r="G1279" s="3" t="s">
        <v>23</v>
      </c>
      <c r="H1279" s="3" t="s">
        <v>2508</v>
      </c>
      <c r="I1279" s="3"/>
      <c r="J1279" s="3" t="s">
        <v>17</v>
      </c>
      <c r="K1279" s="3">
        <v>30899</v>
      </c>
    </row>
    <row r="1280" spans="1:11">
      <c r="A1280" s="3" t="s">
        <v>2509</v>
      </c>
      <c r="B1280" s="3" t="s">
        <v>468</v>
      </c>
      <c r="C1280" s="3" t="s">
        <v>13</v>
      </c>
      <c r="D1280" s="3" t="s">
        <v>21</v>
      </c>
      <c r="E1280" s="3" t="s">
        <v>22</v>
      </c>
      <c r="F1280" s="3">
        <v>32</v>
      </c>
      <c r="G1280" s="3" t="s">
        <v>23</v>
      </c>
      <c r="H1280" s="3" t="s">
        <v>2510</v>
      </c>
      <c r="I1280" s="3"/>
      <c r="J1280" s="3" t="s">
        <v>17</v>
      </c>
      <c r="K1280" s="3">
        <v>64959</v>
      </c>
    </row>
    <row r="1281" spans="1:11">
      <c r="A1281" s="3" t="s">
        <v>2511</v>
      </c>
      <c r="B1281" s="3" t="s">
        <v>216</v>
      </c>
      <c r="C1281" s="3" t="s">
        <v>74</v>
      </c>
      <c r="D1281" s="3" t="s">
        <v>99</v>
      </c>
      <c r="E1281" s="3" t="s">
        <v>79</v>
      </c>
      <c r="F1281" s="3">
        <v>33</v>
      </c>
      <c r="G1281" s="3" t="s">
        <v>23</v>
      </c>
      <c r="H1281" s="3" t="s">
        <v>887</v>
      </c>
      <c r="I1281" s="3"/>
      <c r="J1281" s="3" t="s">
        <v>17</v>
      </c>
      <c r="K1281" s="3">
        <v>51960</v>
      </c>
    </row>
    <row r="1282" spans="1:11">
      <c r="A1282" s="3" t="s">
        <v>2512</v>
      </c>
      <c r="B1282" s="3" t="s">
        <v>152</v>
      </c>
      <c r="C1282" s="3" t="s">
        <v>103</v>
      </c>
      <c r="D1282" s="3" t="s">
        <v>43</v>
      </c>
      <c r="E1282" s="3" t="s">
        <v>44</v>
      </c>
      <c r="F1282" s="3">
        <v>30</v>
      </c>
      <c r="G1282" s="3" t="s">
        <v>23</v>
      </c>
      <c r="H1282" s="3" t="s">
        <v>2513</v>
      </c>
      <c r="I1282" s="3"/>
      <c r="J1282" s="3" t="s">
        <v>17</v>
      </c>
      <c r="K1282" s="3">
        <v>30796</v>
      </c>
    </row>
    <row r="1283" spans="1:11">
      <c r="A1283" s="3" t="s">
        <v>2514</v>
      </c>
      <c r="B1283" s="3" t="s">
        <v>68</v>
      </c>
      <c r="C1283" s="3" t="s">
        <v>94</v>
      </c>
      <c r="D1283" s="3" t="s">
        <v>33</v>
      </c>
      <c r="E1283" s="3" t="s">
        <v>79</v>
      </c>
      <c r="F1283" s="3">
        <v>22</v>
      </c>
      <c r="G1283" s="3" t="s">
        <v>23</v>
      </c>
      <c r="H1283" s="3" t="s">
        <v>2515</v>
      </c>
      <c r="I1283" s="3"/>
      <c r="J1283" s="3" t="s">
        <v>17</v>
      </c>
      <c r="K1283" s="3">
        <v>80488</v>
      </c>
    </row>
    <row r="1284" spans="1:11">
      <c r="A1284" s="3" t="s">
        <v>2516</v>
      </c>
      <c r="B1284" s="3" t="s">
        <v>145</v>
      </c>
      <c r="C1284" s="3" t="s">
        <v>69</v>
      </c>
      <c r="D1284" s="3" t="s">
        <v>21</v>
      </c>
      <c r="E1284" s="3" t="s">
        <v>22</v>
      </c>
      <c r="F1284" s="3">
        <v>43</v>
      </c>
      <c r="G1284" s="3" t="s">
        <v>23</v>
      </c>
      <c r="H1284" s="3" t="s">
        <v>2517</v>
      </c>
      <c r="I1284" s="3"/>
      <c r="J1284" s="3" t="s">
        <v>17</v>
      </c>
      <c r="K1284" s="3">
        <v>80021</v>
      </c>
    </row>
    <row r="1285" spans="1:11">
      <c r="A1285" s="3" t="s">
        <v>2518</v>
      </c>
      <c r="B1285" s="3" t="s">
        <v>112</v>
      </c>
      <c r="C1285" s="3" t="s">
        <v>20</v>
      </c>
      <c r="D1285" s="3" t="s">
        <v>21</v>
      </c>
      <c r="E1285" s="3" t="s">
        <v>95</v>
      </c>
      <c r="F1285" s="3">
        <v>24</v>
      </c>
      <c r="G1285" s="3" t="s">
        <v>23</v>
      </c>
      <c r="H1285" s="3" t="s">
        <v>346</v>
      </c>
      <c r="I1285" s="3"/>
      <c r="J1285" s="3" t="s">
        <v>17</v>
      </c>
      <c r="K1285" s="3">
        <v>35301</v>
      </c>
    </row>
    <row r="1286" spans="1:11">
      <c r="A1286" s="3" t="s">
        <v>2519</v>
      </c>
      <c r="B1286" s="3" t="s">
        <v>82</v>
      </c>
      <c r="C1286" s="3" t="s">
        <v>103</v>
      </c>
      <c r="D1286" s="3" t="s">
        <v>14</v>
      </c>
      <c r="E1286" s="3" t="s">
        <v>15</v>
      </c>
      <c r="F1286" s="3">
        <v>23</v>
      </c>
      <c r="G1286" s="3" t="s">
        <v>23</v>
      </c>
      <c r="H1286" s="3" t="s">
        <v>2520</v>
      </c>
      <c r="I1286" s="3"/>
      <c r="J1286" s="3" t="s">
        <v>17</v>
      </c>
      <c r="K1286" s="3">
        <v>38659</v>
      </c>
    </row>
    <row r="1287" spans="1:11">
      <c r="A1287" s="3" t="s">
        <v>2521</v>
      </c>
      <c r="B1287" s="3" t="s">
        <v>468</v>
      </c>
      <c r="C1287" s="3" t="s">
        <v>38</v>
      </c>
      <c r="D1287" s="3" t="s">
        <v>27</v>
      </c>
      <c r="E1287" s="3" t="s">
        <v>28</v>
      </c>
      <c r="F1287" s="3">
        <v>39</v>
      </c>
      <c r="G1287" s="3" t="s">
        <v>16</v>
      </c>
      <c r="H1287" s="3" t="s">
        <v>2522</v>
      </c>
      <c r="I1287" s="3"/>
      <c r="J1287" s="3" t="s">
        <v>17</v>
      </c>
      <c r="K1287" s="3">
        <v>45528</v>
      </c>
    </row>
    <row r="1288" spans="1:11">
      <c r="A1288" s="3" t="s">
        <v>2523</v>
      </c>
      <c r="B1288" s="3" t="s">
        <v>160</v>
      </c>
      <c r="C1288" s="3" t="s">
        <v>20</v>
      </c>
      <c r="D1288" s="3" t="s">
        <v>27</v>
      </c>
      <c r="E1288" s="3" t="s">
        <v>122</v>
      </c>
      <c r="F1288" s="3">
        <v>38</v>
      </c>
      <c r="G1288" s="3" t="s">
        <v>16</v>
      </c>
      <c r="H1288" s="3" t="s">
        <v>1715</v>
      </c>
      <c r="I1288" s="3"/>
      <c r="J1288" s="3" t="s">
        <v>17</v>
      </c>
      <c r="K1288" s="3">
        <v>48988</v>
      </c>
    </row>
    <row r="1289" spans="1:11">
      <c r="A1289" s="3" t="s">
        <v>2524</v>
      </c>
      <c r="B1289" s="3" t="s">
        <v>298</v>
      </c>
      <c r="C1289" s="3" t="s">
        <v>42</v>
      </c>
      <c r="D1289" s="3" t="s">
        <v>27</v>
      </c>
      <c r="E1289" s="3" t="s">
        <v>122</v>
      </c>
      <c r="F1289" s="3">
        <v>33</v>
      </c>
      <c r="G1289" s="3" t="s">
        <v>16</v>
      </c>
      <c r="H1289" s="3" t="s">
        <v>2525</v>
      </c>
      <c r="I1289" s="3" t="s">
        <v>1961</v>
      </c>
      <c r="J1289" s="3" t="s">
        <v>51</v>
      </c>
      <c r="K1289" s="3">
        <v>18000</v>
      </c>
    </row>
    <row r="1290" spans="1:11">
      <c r="A1290" s="3" t="s">
        <v>2526</v>
      </c>
      <c r="B1290" s="3" t="s">
        <v>141</v>
      </c>
      <c r="C1290" s="3" t="s">
        <v>83</v>
      </c>
      <c r="D1290" s="3" t="s">
        <v>14</v>
      </c>
      <c r="E1290" s="3" t="s">
        <v>15</v>
      </c>
      <c r="F1290" s="3">
        <v>25</v>
      </c>
      <c r="G1290" s="3" t="s">
        <v>16</v>
      </c>
      <c r="H1290" s="3" t="s">
        <v>733</v>
      </c>
      <c r="I1290" s="3"/>
      <c r="J1290" s="3" t="s">
        <v>17</v>
      </c>
      <c r="K1290" s="3">
        <v>68272</v>
      </c>
    </row>
    <row r="1291" spans="1:11">
      <c r="A1291" s="3" t="s">
        <v>2527</v>
      </c>
      <c r="B1291" s="3" t="s">
        <v>112</v>
      </c>
      <c r="C1291" s="3" t="s">
        <v>63</v>
      </c>
      <c r="D1291" s="3" t="s">
        <v>43</v>
      </c>
      <c r="E1291" s="3" t="s">
        <v>44</v>
      </c>
      <c r="F1291" s="3">
        <v>21</v>
      </c>
      <c r="G1291" s="3" t="s">
        <v>16</v>
      </c>
      <c r="H1291" s="3" t="s">
        <v>2528</v>
      </c>
      <c r="I1291" s="3" t="s">
        <v>230</v>
      </c>
      <c r="J1291" s="3" t="s">
        <v>51</v>
      </c>
      <c r="K1291" s="3">
        <v>78127</v>
      </c>
    </row>
    <row r="1292" spans="1:11">
      <c r="A1292" s="3" t="s">
        <v>2529</v>
      </c>
      <c r="B1292" s="3" t="s">
        <v>19</v>
      </c>
      <c r="C1292" s="3" t="s">
        <v>94</v>
      </c>
      <c r="D1292" s="3" t="s">
        <v>43</v>
      </c>
      <c r="E1292" s="3" t="s">
        <v>48</v>
      </c>
      <c r="F1292" s="3">
        <v>45</v>
      </c>
      <c r="G1292" s="3" t="s">
        <v>23</v>
      </c>
      <c r="H1292" s="3" t="s">
        <v>2530</v>
      </c>
      <c r="I1292" s="3"/>
      <c r="J1292" s="3" t="s">
        <v>17</v>
      </c>
      <c r="K1292" s="3">
        <v>48983</v>
      </c>
    </row>
    <row r="1293" spans="1:11">
      <c r="A1293" s="3" t="s">
        <v>2531</v>
      </c>
      <c r="B1293" s="3" t="s">
        <v>186</v>
      </c>
      <c r="C1293" s="3" t="s">
        <v>83</v>
      </c>
      <c r="D1293" s="3" t="s">
        <v>64</v>
      </c>
      <c r="E1293" s="3" t="s">
        <v>65</v>
      </c>
      <c r="F1293" s="3">
        <v>39</v>
      </c>
      <c r="G1293" s="3" t="s">
        <v>23</v>
      </c>
      <c r="H1293" s="3" t="s">
        <v>1771</v>
      </c>
      <c r="I1293" s="3"/>
      <c r="J1293" s="3" t="s">
        <v>17</v>
      </c>
      <c r="K1293" s="3">
        <v>62881</v>
      </c>
    </row>
    <row r="1294" spans="1:11">
      <c r="A1294" s="3" t="s">
        <v>1581</v>
      </c>
      <c r="B1294" s="3" t="s">
        <v>102</v>
      </c>
      <c r="C1294" s="3" t="s">
        <v>169</v>
      </c>
      <c r="D1294" s="3" t="s">
        <v>14</v>
      </c>
      <c r="E1294" s="3" t="s">
        <v>75</v>
      </c>
      <c r="F1294" s="3">
        <v>32</v>
      </c>
      <c r="G1294" s="3" t="s">
        <v>16</v>
      </c>
      <c r="H1294" s="3" t="s">
        <v>1582</v>
      </c>
      <c r="I1294" s="3"/>
      <c r="J1294" s="3" t="s">
        <v>17</v>
      </c>
      <c r="K1294" s="3">
        <v>39666</v>
      </c>
    </row>
    <row r="1295" spans="1:11">
      <c r="A1295" s="3" t="s">
        <v>2532</v>
      </c>
      <c r="B1295" s="3" t="s">
        <v>298</v>
      </c>
      <c r="C1295" s="3" t="s">
        <v>174</v>
      </c>
      <c r="D1295" s="3" t="s">
        <v>14</v>
      </c>
      <c r="E1295" s="3" t="s">
        <v>15</v>
      </c>
      <c r="F1295" s="3">
        <v>26</v>
      </c>
      <c r="G1295" s="3" t="s">
        <v>16</v>
      </c>
      <c r="H1295" s="3" t="s">
        <v>1911</v>
      </c>
      <c r="I1295" s="3"/>
      <c r="J1295" s="3" t="s">
        <v>17</v>
      </c>
      <c r="K1295" s="3">
        <v>82174</v>
      </c>
    </row>
    <row r="1296" spans="1:11">
      <c r="A1296" s="3" t="s">
        <v>2533</v>
      </c>
      <c r="B1296" s="3" t="s">
        <v>109</v>
      </c>
      <c r="C1296" s="3" t="s">
        <v>69</v>
      </c>
      <c r="D1296" s="3" t="s">
        <v>43</v>
      </c>
      <c r="E1296" s="3" t="s">
        <v>70</v>
      </c>
      <c r="F1296" s="3">
        <v>46</v>
      </c>
      <c r="G1296" s="3" t="s">
        <v>16</v>
      </c>
      <c r="H1296" s="3" t="s">
        <v>2534</v>
      </c>
      <c r="I1296" s="3"/>
      <c r="J1296" s="3" t="s">
        <v>17</v>
      </c>
      <c r="K1296" s="3">
        <v>80132</v>
      </c>
    </row>
    <row r="1297" spans="1:11">
      <c r="A1297" s="3" t="s">
        <v>2535</v>
      </c>
      <c r="B1297" s="3" t="s">
        <v>160</v>
      </c>
      <c r="C1297" s="3" t="s">
        <v>13</v>
      </c>
      <c r="D1297" s="3" t="s">
        <v>21</v>
      </c>
      <c r="E1297" s="3" t="s">
        <v>87</v>
      </c>
      <c r="F1297" s="3">
        <v>30</v>
      </c>
      <c r="G1297" s="3" t="s">
        <v>16</v>
      </c>
      <c r="H1297" s="3" t="s">
        <v>2079</v>
      </c>
      <c r="I1297" s="3"/>
      <c r="J1297" s="3" t="s">
        <v>17</v>
      </c>
      <c r="K1297" s="3">
        <v>37126</v>
      </c>
    </row>
    <row r="1298" spans="1:11">
      <c r="A1298" s="3" t="s">
        <v>2536</v>
      </c>
      <c r="B1298" s="3" t="s">
        <v>288</v>
      </c>
      <c r="C1298" s="3" t="s">
        <v>63</v>
      </c>
      <c r="D1298" s="3" t="s">
        <v>43</v>
      </c>
      <c r="E1298" s="3" t="s">
        <v>48</v>
      </c>
      <c r="F1298" s="3">
        <v>27</v>
      </c>
      <c r="G1298" s="3" t="s">
        <v>16</v>
      </c>
      <c r="H1298" s="3" t="s">
        <v>2537</v>
      </c>
      <c r="I1298" s="3"/>
      <c r="J1298" s="3" t="s">
        <v>17</v>
      </c>
      <c r="K1298" s="3">
        <v>26866</v>
      </c>
    </row>
    <row r="1299" spans="1:11">
      <c r="A1299" s="3" t="s">
        <v>2538</v>
      </c>
      <c r="B1299" s="3" t="s">
        <v>160</v>
      </c>
      <c r="C1299" s="3" t="s">
        <v>249</v>
      </c>
      <c r="D1299" s="3" t="s">
        <v>14</v>
      </c>
      <c r="E1299" s="3" t="s">
        <v>15</v>
      </c>
      <c r="F1299" s="3">
        <v>23</v>
      </c>
      <c r="G1299" s="3" t="s">
        <v>23</v>
      </c>
      <c r="H1299" s="3" t="s">
        <v>2539</v>
      </c>
      <c r="I1299" s="3"/>
      <c r="J1299" s="3" t="s">
        <v>17</v>
      </c>
      <c r="K1299" s="3">
        <v>22976</v>
      </c>
    </row>
    <row r="1300" spans="1:11">
      <c r="A1300" s="3" t="s">
        <v>2540</v>
      </c>
      <c r="B1300" s="3" t="s">
        <v>160</v>
      </c>
      <c r="C1300" s="3" t="s">
        <v>42</v>
      </c>
      <c r="D1300" s="3" t="s">
        <v>21</v>
      </c>
      <c r="E1300" s="3" t="s">
        <v>155</v>
      </c>
      <c r="F1300" s="3">
        <v>43</v>
      </c>
      <c r="G1300" s="3" t="s">
        <v>16</v>
      </c>
      <c r="H1300" s="3" t="s">
        <v>2541</v>
      </c>
      <c r="I1300" s="3"/>
      <c r="J1300" s="3" t="s">
        <v>17</v>
      </c>
      <c r="K1300" s="3">
        <v>60691</v>
      </c>
    </row>
    <row r="1301" spans="1:11">
      <c r="A1301" s="3" t="s">
        <v>2542</v>
      </c>
      <c r="B1301" s="3" t="s">
        <v>186</v>
      </c>
      <c r="C1301" s="3" t="s">
        <v>129</v>
      </c>
      <c r="D1301" s="3" t="s">
        <v>21</v>
      </c>
      <c r="E1301" s="3" t="s">
        <v>95</v>
      </c>
      <c r="F1301" s="3">
        <v>34</v>
      </c>
      <c r="G1301" s="3" t="s">
        <v>16</v>
      </c>
      <c r="H1301" s="3" t="s">
        <v>1443</v>
      </c>
      <c r="I1301" s="3" t="s">
        <v>2543</v>
      </c>
      <c r="J1301" s="3" t="s">
        <v>51</v>
      </c>
      <c r="K1301" s="3">
        <v>50513</v>
      </c>
    </row>
    <row r="1302" spans="1:11">
      <c r="A1302" s="3" t="s">
        <v>2544</v>
      </c>
      <c r="B1302" s="3" t="s">
        <v>82</v>
      </c>
      <c r="C1302" s="3" t="s">
        <v>74</v>
      </c>
      <c r="D1302" s="3" t="s">
        <v>43</v>
      </c>
      <c r="E1302" s="3" t="s">
        <v>70</v>
      </c>
      <c r="F1302" s="3">
        <v>30</v>
      </c>
      <c r="G1302" s="3" t="s">
        <v>23</v>
      </c>
      <c r="H1302" s="3" t="s">
        <v>2545</v>
      </c>
      <c r="I1302" s="3"/>
      <c r="J1302" s="3" t="s">
        <v>17</v>
      </c>
      <c r="K1302" s="3">
        <v>69218</v>
      </c>
    </row>
    <row r="1303" spans="1:11">
      <c r="A1303" s="3" t="s">
        <v>2546</v>
      </c>
      <c r="B1303" s="3" t="s">
        <v>82</v>
      </c>
      <c r="C1303" s="3" t="s">
        <v>32</v>
      </c>
      <c r="D1303" s="3" t="s">
        <v>594</v>
      </c>
      <c r="E1303" s="3" t="s">
        <v>266</v>
      </c>
      <c r="F1303" s="3">
        <v>31</v>
      </c>
      <c r="G1303" s="3" t="s">
        <v>16</v>
      </c>
      <c r="H1303" s="4">
        <v>45499</v>
      </c>
      <c r="I1303" s="3"/>
      <c r="J1303" s="3" t="s">
        <v>17</v>
      </c>
      <c r="K1303" s="3">
        <v>52306</v>
      </c>
    </row>
    <row r="1304" spans="1:11">
      <c r="A1304" s="3" t="s">
        <v>2547</v>
      </c>
      <c r="B1304" s="3" t="s">
        <v>12</v>
      </c>
      <c r="C1304" s="3" t="s">
        <v>129</v>
      </c>
      <c r="D1304" s="3" t="s">
        <v>99</v>
      </c>
      <c r="E1304" s="3" t="s">
        <v>34</v>
      </c>
      <c r="F1304" s="3">
        <v>32</v>
      </c>
      <c r="G1304" s="3" t="s">
        <v>16</v>
      </c>
      <c r="H1304" s="3" t="s">
        <v>1961</v>
      </c>
      <c r="I1304" s="3"/>
      <c r="J1304" s="3" t="s">
        <v>17</v>
      </c>
      <c r="K1304" s="3">
        <v>105113</v>
      </c>
    </row>
    <row r="1305" spans="1:11">
      <c r="A1305" s="3" t="s">
        <v>2548</v>
      </c>
      <c r="B1305" s="3" t="s">
        <v>263</v>
      </c>
      <c r="C1305" s="3" t="s">
        <v>113</v>
      </c>
      <c r="D1305" s="3" t="s">
        <v>64</v>
      </c>
      <c r="E1305" s="3" t="s">
        <v>161</v>
      </c>
      <c r="F1305" s="3">
        <v>30</v>
      </c>
      <c r="G1305" s="3" t="s">
        <v>16</v>
      </c>
      <c r="H1305" s="3" t="s">
        <v>2549</v>
      </c>
      <c r="I1305" s="3"/>
      <c r="J1305" s="3" t="s">
        <v>17</v>
      </c>
      <c r="K1305" s="3">
        <v>37222</v>
      </c>
    </row>
    <row r="1306" spans="1:11">
      <c r="A1306" s="3" t="s">
        <v>2550</v>
      </c>
      <c r="B1306" s="3" t="s">
        <v>19</v>
      </c>
      <c r="C1306" s="3" t="s">
        <v>42</v>
      </c>
      <c r="D1306" s="3" t="s">
        <v>648</v>
      </c>
      <c r="E1306" s="3" t="s">
        <v>266</v>
      </c>
      <c r="F1306" s="3">
        <v>45</v>
      </c>
      <c r="G1306" s="3" t="s">
        <v>23</v>
      </c>
      <c r="H1306" s="3" t="s">
        <v>2144</v>
      </c>
      <c r="I1306" s="3" t="s">
        <v>100</v>
      </c>
      <c r="J1306" s="3" t="s">
        <v>51</v>
      </c>
      <c r="K1306" s="3">
        <v>69081</v>
      </c>
    </row>
    <row r="1307" spans="1:11">
      <c r="A1307" s="3" t="s">
        <v>2551</v>
      </c>
      <c r="B1307" s="3" t="s">
        <v>298</v>
      </c>
      <c r="C1307" s="3" t="s">
        <v>13</v>
      </c>
      <c r="D1307" s="3" t="s">
        <v>64</v>
      </c>
      <c r="E1307" s="3" t="s">
        <v>161</v>
      </c>
      <c r="F1307" s="3">
        <v>28</v>
      </c>
      <c r="G1307" s="3" t="s">
        <v>16</v>
      </c>
      <c r="H1307" s="3" t="s">
        <v>2552</v>
      </c>
      <c r="I1307" s="3"/>
      <c r="J1307" s="3" t="s">
        <v>17</v>
      </c>
      <c r="K1307" s="3">
        <v>53672</v>
      </c>
    </row>
    <row r="1308" spans="1:11">
      <c r="A1308" s="3" t="s">
        <v>2553</v>
      </c>
      <c r="B1308" s="3" t="s">
        <v>106</v>
      </c>
      <c r="C1308" s="3" t="s">
        <v>74</v>
      </c>
      <c r="D1308" s="3" t="s">
        <v>21</v>
      </c>
      <c r="E1308" s="3" t="s">
        <v>95</v>
      </c>
      <c r="F1308" s="3">
        <v>29</v>
      </c>
      <c r="G1308" s="3" t="s">
        <v>23</v>
      </c>
      <c r="H1308" s="3" t="s">
        <v>1580</v>
      </c>
      <c r="I1308" s="3"/>
      <c r="J1308" s="3" t="s">
        <v>17</v>
      </c>
      <c r="K1308" s="3">
        <v>85233</v>
      </c>
    </row>
    <row r="1309" spans="1:11">
      <c r="A1309" s="3" t="s">
        <v>2554</v>
      </c>
      <c r="B1309" s="3" t="s">
        <v>78</v>
      </c>
      <c r="C1309" s="3" t="s">
        <v>59</v>
      </c>
      <c r="D1309" s="3" t="s">
        <v>27</v>
      </c>
      <c r="E1309" s="3" t="s">
        <v>28</v>
      </c>
      <c r="F1309" s="3">
        <v>31</v>
      </c>
      <c r="G1309" s="3" t="s">
        <v>16</v>
      </c>
      <c r="H1309" s="3" t="s">
        <v>1049</v>
      </c>
      <c r="I1309" s="3"/>
      <c r="J1309" s="3" t="s">
        <v>17</v>
      </c>
      <c r="K1309" s="3">
        <v>56780</v>
      </c>
    </row>
    <row r="1310" spans="1:11">
      <c r="A1310" s="3" t="s">
        <v>2555</v>
      </c>
      <c r="B1310" s="3" t="s">
        <v>141</v>
      </c>
      <c r="C1310" s="3" t="s">
        <v>146</v>
      </c>
      <c r="D1310" s="3" t="s">
        <v>27</v>
      </c>
      <c r="E1310" s="3" t="s">
        <v>122</v>
      </c>
      <c r="F1310" s="3">
        <v>29</v>
      </c>
      <c r="G1310" s="3" t="s">
        <v>16</v>
      </c>
      <c r="H1310" s="3" t="s">
        <v>2556</v>
      </c>
      <c r="I1310" s="3"/>
      <c r="J1310" s="3" t="s">
        <v>17</v>
      </c>
      <c r="K1310" s="3">
        <v>63201</v>
      </c>
    </row>
    <row r="1311" spans="1:11">
      <c r="A1311" s="3" t="s">
        <v>2557</v>
      </c>
      <c r="B1311" s="3" t="s">
        <v>12</v>
      </c>
      <c r="C1311" s="3" t="s">
        <v>69</v>
      </c>
      <c r="D1311" s="3" t="s">
        <v>27</v>
      </c>
      <c r="E1311" s="3" t="s">
        <v>54</v>
      </c>
      <c r="F1311" s="3">
        <v>37</v>
      </c>
      <c r="G1311" s="3" t="s">
        <v>16</v>
      </c>
      <c r="H1311" s="3" t="s">
        <v>2558</v>
      </c>
      <c r="I1311" s="3"/>
      <c r="J1311" s="3" t="s">
        <v>17</v>
      </c>
      <c r="K1311" s="3">
        <v>83704</v>
      </c>
    </row>
    <row r="1312" spans="1:11">
      <c r="A1312" s="3" t="s">
        <v>2559</v>
      </c>
      <c r="B1312" s="3" t="s">
        <v>226</v>
      </c>
      <c r="C1312" s="3" t="s">
        <v>69</v>
      </c>
      <c r="D1312" s="3" t="s">
        <v>43</v>
      </c>
      <c r="E1312" s="3" t="s">
        <v>70</v>
      </c>
      <c r="F1312" s="3">
        <v>23</v>
      </c>
      <c r="G1312" s="3" t="s">
        <v>16</v>
      </c>
      <c r="H1312" s="3" t="s">
        <v>221</v>
      </c>
      <c r="I1312" s="3"/>
      <c r="J1312" s="3" t="s">
        <v>17</v>
      </c>
      <c r="K1312" s="3">
        <v>76183</v>
      </c>
    </row>
    <row r="1313" spans="1:11">
      <c r="A1313" s="3" t="s">
        <v>2560</v>
      </c>
      <c r="B1313" s="3" t="s">
        <v>226</v>
      </c>
      <c r="C1313" s="3" t="s">
        <v>164</v>
      </c>
      <c r="D1313" s="3" t="s">
        <v>43</v>
      </c>
      <c r="E1313" s="3" t="s">
        <v>70</v>
      </c>
      <c r="F1313" s="3">
        <v>36</v>
      </c>
      <c r="G1313" s="3" t="s">
        <v>16</v>
      </c>
      <c r="H1313" s="3" t="s">
        <v>2561</v>
      </c>
      <c r="I1313" s="3"/>
      <c r="J1313" s="3" t="s">
        <v>17</v>
      </c>
      <c r="K1313" s="3">
        <v>50353</v>
      </c>
    </row>
    <row r="1314" spans="1:11">
      <c r="A1314" s="3" t="s">
        <v>2562</v>
      </c>
      <c r="B1314" s="3" t="s">
        <v>37</v>
      </c>
      <c r="C1314" s="3" t="s">
        <v>32</v>
      </c>
      <c r="D1314" s="3" t="s">
        <v>43</v>
      </c>
      <c r="E1314" s="3" t="s">
        <v>44</v>
      </c>
      <c r="F1314" s="3">
        <v>24</v>
      </c>
      <c r="G1314" s="3" t="s">
        <v>16</v>
      </c>
      <c r="H1314" s="3" t="s">
        <v>2563</v>
      </c>
      <c r="I1314" s="3"/>
      <c r="J1314" s="3" t="s">
        <v>17</v>
      </c>
      <c r="K1314" s="3">
        <v>18000</v>
      </c>
    </row>
    <row r="1315" spans="1:11">
      <c r="A1315" s="3" t="s">
        <v>2564</v>
      </c>
      <c r="B1315" s="3" t="s">
        <v>141</v>
      </c>
      <c r="C1315" s="3" t="s">
        <v>59</v>
      </c>
      <c r="D1315" s="3" t="s">
        <v>14</v>
      </c>
      <c r="E1315" s="3" t="s">
        <v>75</v>
      </c>
      <c r="F1315" s="3">
        <v>36</v>
      </c>
      <c r="G1315" s="3" t="s">
        <v>23</v>
      </c>
      <c r="H1315" s="3" t="s">
        <v>1837</v>
      </c>
      <c r="I1315" s="3"/>
      <c r="J1315" s="3" t="s">
        <v>17</v>
      </c>
      <c r="K1315" s="3">
        <v>69733</v>
      </c>
    </row>
    <row r="1316" spans="1:11">
      <c r="A1316" s="3" t="s">
        <v>2565</v>
      </c>
      <c r="B1316" s="3" t="s">
        <v>12</v>
      </c>
      <c r="C1316" s="3" t="s">
        <v>135</v>
      </c>
      <c r="D1316" s="3" t="s">
        <v>43</v>
      </c>
      <c r="E1316" s="3" t="s">
        <v>48</v>
      </c>
      <c r="F1316" s="3">
        <v>34</v>
      </c>
      <c r="G1316" s="3" t="s">
        <v>16</v>
      </c>
      <c r="H1316" s="3" t="s">
        <v>737</v>
      </c>
      <c r="I1316" s="3"/>
      <c r="J1316" s="3" t="s">
        <v>17</v>
      </c>
      <c r="K1316" s="3">
        <v>65436</v>
      </c>
    </row>
    <row r="1317" spans="1:11">
      <c r="A1317" s="3" t="s">
        <v>2566</v>
      </c>
      <c r="B1317" s="3" t="s">
        <v>68</v>
      </c>
      <c r="C1317" s="3" t="s">
        <v>20</v>
      </c>
      <c r="D1317" s="3" t="s">
        <v>21</v>
      </c>
      <c r="E1317" s="3" t="s">
        <v>95</v>
      </c>
      <c r="F1317" s="3">
        <v>23</v>
      </c>
      <c r="G1317" s="3" t="s">
        <v>23</v>
      </c>
      <c r="H1317" s="3" t="s">
        <v>1340</v>
      </c>
      <c r="I1317" s="3"/>
      <c r="J1317" s="3" t="s">
        <v>17</v>
      </c>
      <c r="K1317" s="3">
        <v>52152</v>
      </c>
    </row>
    <row r="1318" spans="1:11">
      <c r="A1318" s="3" t="s">
        <v>2567</v>
      </c>
      <c r="B1318" s="3" t="s">
        <v>68</v>
      </c>
      <c r="C1318" s="3" t="s">
        <v>135</v>
      </c>
      <c r="D1318" s="3" t="s">
        <v>43</v>
      </c>
      <c r="E1318" s="3" t="s">
        <v>48</v>
      </c>
      <c r="F1318" s="3">
        <v>30</v>
      </c>
      <c r="G1318" s="3" t="s">
        <v>16</v>
      </c>
      <c r="H1318" s="3" t="s">
        <v>2568</v>
      </c>
      <c r="I1318" s="3"/>
      <c r="J1318" s="3" t="s">
        <v>17</v>
      </c>
      <c r="K1318" s="3">
        <v>59241</v>
      </c>
    </row>
    <row r="1319" spans="1:11">
      <c r="A1319" s="3" t="s">
        <v>2569</v>
      </c>
      <c r="B1319" s="3" t="s">
        <v>223</v>
      </c>
      <c r="C1319" s="3" t="s">
        <v>146</v>
      </c>
      <c r="D1319" s="3" t="s">
        <v>64</v>
      </c>
      <c r="E1319" s="3" t="s">
        <v>266</v>
      </c>
      <c r="F1319" s="3">
        <v>33</v>
      </c>
      <c r="G1319" s="3" t="s">
        <v>16</v>
      </c>
      <c r="H1319" s="4">
        <v>45688</v>
      </c>
      <c r="I1319" s="3"/>
      <c r="J1319" s="3" t="s">
        <v>17</v>
      </c>
      <c r="K1319" s="3">
        <v>76956</v>
      </c>
    </row>
    <row r="1320" spans="1:11">
      <c r="A1320" s="3" t="s">
        <v>2570</v>
      </c>
      <c r="B1320" s="3" t="s">
        <v>263</v>
      </c>
      <c r="C1320" s="3" t="s">
        <v>83</v>
      </c>
      <c r="D1320" s="3" t="s">
        <v>21</v>
      </c>
      <c r="E1320" s="3" t="s">
        <v>87</v>
      </c>
      <c r="F1320" s="3">
        <v>33</v>
      </c>
      <c r="G1320" s="3" t="s">
        <v>23</v>
      </c>
      <c r="H1320" s="3" t="s">
        <v>2571</v>
      </c>
      <c r="I1320" s="3"/>
      <c r="J1320" s="3" t="s">
        <v>17</v>
      </c>
      <c r="K1320" s="3">
        <v>48258</v>
      </c>
    </row>
    <row r="1321" spans="1:11">
      <c r="A1321" s="3" t="s">
        <v>2572</v>
      </c>
      <c r="B1321" s="3" t="s">
        <v>109</v>
      </c>
      <c r="C1321" s="3" t="s">
        <v>38</v>
      </c>
      <c r="D1321" s="3" t="s">
        <v>27</v>
      </c>
      <c r="E1321" s="3" t="s">
        <v>54</v>
      </c>
      <c r="F1321" s="3">
        <v>39</v>
      </c>
      <c r="G1321" s="3" t="s">
        <v>16</v>
      </c>
      <c r="H1321" s="3" t="s">
        <v>2573</v>
      </c>
      <c r="I1321" s="3"/>
      <c r="J1321" s="3" t="s">
        <v>17</v>
      </c>
      <c r="K1321" s="3">
        <v>20332</v>
      </c>
    </row>
    <row r="1322" spans="1:11">
      <c r="A1322" s="3" t="s">
        <v>2574</v>
      </c>
      <c r="B1322" s="3" t="s">
        <v>109</v>
      </c>
      <c r="C1322" s="3" t="s">
        <v>13</v>
      </c>
      <c r="D1322" s="3" t="s">
        <v>33</v>
      </c>
      <c r="E1322" s="3" t="s">
        <v>34</v>
      </c>
      <c r="F1322" s="3">
        <v>21</v>
      </c>
      <c r="G1322" s="3" t="s">
        <v>16</v>
      </c>
      <c r="H1322" s="4">
        <v>45856</v>
      </c>
      <c r="I1322" s="3" t="s">
        <v>2575</v>
      </c>
      <c r="J1322" s="3" t="s">
        <v>51</v>
      </c>
      <c r="K1322" s="3">
        <v>63771</v>
      </c>
    </row>
    <row r="1323" spans="1:11">
      <c r="A1323" s="3" t="s">
        <v>2576</v>
      </c>
      <c r="B1323" s="3" t="s">
        <v>152</v>
      </c>
      <c r="C1323" s="3" t="s">
        <v>74</v>
      </c>
      <c r="D1323" s="3" t="s">
        <v>809</v>
      </c>
      <c r="E1323" s="3" t="s">
        <v>48</v>
      </c>
      <c r="F1323" s="3">
        <v>39</v>
      </c>
      <c r="G1323" s="3" t="s">
        <v>23</v>
      </c>
      <c r="H1323" s="3" t="s">
        <v>2577</v>
      </c>
      <c r="I1323" s="3"/>
      <c r="J1323" s="3" t="s">
        <v>17</v>
      </c>
      <c r="K1323" s="3">
        <v>52042</v>
      </c>
    </row>
    <row r="1324" spans="1:11">
      <c r="A1324" s="3" t="s">
        <v>2578</v>
      </c>
      <c r="B1324" s="3" t="s">
        <v>19</v>
      </c>
      <c r="C1324" s="3" t="s">
        <v>177</v>
      </c>
      <c r="D1324" s="3" t="s">
        <v>21</v>
      </c>
      <c r="E1324" s="3" t="s">
        <v>155</v>
      </c>
      <c r="F1324" s="3">
        <v>29</v>
      </c>
      <c r="G1324" s="3" t="s">
        <v>16</v>
      </c>
      <c r="H1324" s="3" t="s">
        <v>1086</v>
      </c>
      <c r="I1324" s="3"/>
      <c r="J1324" s="3" t="s">
        <v>17</v>
      </c>
      <c r="K1324" s="3">
        <v>63499</v>
      </c>
    </row>
    <row r="1325" spans="1:11">
      <c r="A1325" s="3" t="s">
        <v>2579</v>
      </c>
      <c r="B1325" s="3" t="s">
        <v>263</v>
      </c>
      <c r="C1325" s="3" t="s">
        <v>146</v>
      </c>
      <c r="D1325" s="3" t="s">
        <v>14</v>
      </c>
      <c r="E1325" s="3" t="s">
        <v>15</v>
      </c>
      <c r="F1325" s="3">
        <v>23</v>
      </c>
      <c r="G1325" s="3" t="s">
        <v>16</v>
      </c>
      <c r="H1325" s="3" t="s">
        <v>2580</v>
      </c>
      <c r="I1325" s="3"/>
      <c r="J1325" s="3" t="s">
        <v>17</v>
      </c>
      <c r="K1325" s="3">
        <v>70080</v>
      </c>
    </row>
    <row r="1326" spans="1:11">
      <c r="A1326" s="3" t="s">
        <v>2581</v>
      </c>
      <c r="B1326" s="3" t="s">
        <v>125</v>
      </c>
      <c r="C1326" s="3" t="s">
        <v>38</v>
      </c>
      <c r="D1326" s="3" t="s">
        <v>64</v>
      </c>
      <c r="E1326" s="3" t="s">
        <v>266</v>
      </c>
      <c r="F1326" s="3">
        <v>37</v>
      </c>
      <c r="G1326" s="3" t="s">
        <v>16</v>
      </c>
      <c r="H1326" s="3" t="s">
        <v>2582</v>
      </c>
      <c r="I1326" s="3"/>
      <c r="J1326" s="3" t="s">
        <v>17</v>
      </c>
      <c r="K1326" s="3">
        <v>92127</v>
      </c>
    </row>
    <row r="1327" spans="1:11">
      <c r="A1327" s="3" t="s">
        <v>2583</v>
      </c>
      <c r="B1327" s="3" t="s">
        <v>109</v>
      </c>
      <c r="C1327" s="3" t="s">
        <v>26</v>
      </c>
      <c r="D1327" s="3" t="s">
        <v>43</v>
      </c>
      <c r="E1327" s="3" t="s">
        <v>44</v>
      </c>
      <c r="F1327" s="3">
        <v>47</v>
      </c>
      <c r="G1327" s="3" t="s">
        <v>16</v>
      </c>
      <c r="H1327" s="3" t="s">
        <v>2584</v>
      </c>
      <c r="I1327" s="3"/>
      <c r="J1327" s="3" t="s">
        <v>17</v>
      </c>
      <c r="K1327" s="3">
        <v>51473</v>
      </c>
    </row>
    <row r="1328" spans="1:11">
      <c r="A1328" s="3" t="s">
        <v>2585</v>
      </c>
      <c r="B1328" s="3" t="s">
        <v>125</v>
      </c>
      <c r="C1328" s="3" t="s">
        <v>38</v>
      </c>
      <c r="D1328" s="3" t="s">
        <v>43</v>
      </c>
      <c r="E1328" s="3" t="s">
        <v>48</v>
      </c>
      <c r="F1328" s="3">
        <v>24</v>
      </c>
      <c r="G1328" s="3" t="s">
        <v>16</v>
      </c>
      <c r="H1328" s="3" t="s">
        <v>2586</v>
      </c>
      <c r="I1328" s="3"/>
      <c r="J1328" s="3" t="s">
        <v>17</v>
      </c>
      <c r="K1328" s="3">
        <v>46396</v>
      </c>
    </row>
    <row r="1329" spans="1:11">
      <c r="A1329" s="3" t="s">
        <v>2587</v>
      </c>
      <c r="B1329" s="3" t="s">
        <v>112</v>
      </c>
      <c r="C1329" s="3" t="s">
        <v>83</v>
      </c>
      <c r="D1329" s="3" t="s">
        <v>809</v>
      </c>
      <c r="E1329" s="3" t="s">
        <v>44</v>
      </c>
      <c r="F1329" s="3">
        <v>30</v>
      </c>
      <c r="G1329" s="3" t="s">
        <v>23</v>
      </c>
      <c r="H1329" s="3" t="s">
        <v>280</v>
      </c>
      <c r="I1329" s="3"/>
      <c r="J1329" s="3" t="s">
        <v>17</v>
      </c>
      <c r="K1329" s="3">
        <v>34300</v>
      </c>
    </row>
    <row r="1330" spans="1:11">
      <c r="A1330" s="3" t="s">
        <v>2588</v>
      </c>
      <c r="B1330" s="3" t="s">
        <v>128</v>
      </c>
      <c r="C1330" s="3" t="s">
        <v>63</v>
      </c>
      <c r="D1330" s="3" t="s">
        <v>27</v>
      </c>
      <c r="E1330" s="3" t="s">
        <v>54</v>
      </c>
      <c r="F1330" s="3">
        <v>30</v>
      </c>
      <c r="G1330" s="3" t="s">
        <v>16</v>
      </c>
      <c r="H1330" s="3" t="s">
        <v>2589</v>
      </c>
      <c r="I1330" s="3" t="s">
        <v>1297</v>
      </c>
      <c r="J1330" s="3" t="s">
        <v>51</v>
      </c>
      <c r="K1330" s="3">
        <v>64974</v>
      </c>
    </row>
    <row r="1331" spans="1:11">
      <c r="A1331" s="3" t="s">
        <v>2590</v>
      </c>
      <c r="B1331" s="3" t="s">
        <v>134</v>
      </c>
      <c r="C1331" s="3" t="s">
        <v>103</v>
      </c>
      <c r="D1331" s="3" t="s">
        <v>43</v>
      </c>
      <c r="E1331" s="3" t="s">
        <v>44</v>
      </c>
      <c r="F1331" s="3">
        <v>32</v>
      </c>
      <c r="G1331" s="3" t="s">
        <v>16</v>
      </c>
      <c r="H1331" s="3" t="s">
        <v>2591</v>
      </c>
      <c r="I1331" s="3"/>
      <c r="J1331" s="3" t="s">
        <v>17</v>
      </c>
      <c r="K1331" s="3">
        <v>70275</v>
      </c>
    </row>
    <row r="1332" spans="1:11">
      <c r="A1332" s="3" t="s">
        <v>2592</v>
      </c>
      <c r="B1332" s="3" t="s">
        <v>78</v>
      </c>
      <c r="C1332" s="3" t="s">
        <v>205</v>
      </c>
      <c r="D1332" s="3" t="s">
        <v>43</v>
      </c>
      <c r="E1332" s="3" t="s">
        <v>44</v>
      </c>
      <c r="F1332" s="3">
        <v>26</v>
      </c>
      <c r="G1332" s="3" t="s">
        <v>23</v>
      </c>
      <c r="H1332" s="3" t="s">
        <v>2593</v>
      </c>
      <c r="I1332" s="3"/>
      <c r="J1332" s="3" t="s">
        <v>17</v>
      </c>
      <c r="K1332" s="3">
        <v>55083</v>
      </c>
    </row>
    <row r="1333" spans="1:11">
      <c r="A1333" s="3" t="s">
        <v>2594</v>
      </c>
      <c r="B1333" s="3" t="s">
        <v>90</v>
      </c>
      <c r="C1333" s="3" t="s">
        <v>177</v>
      </c>
      <c r="D1333" s="3" t="s">
        <v>21</v>
      </c>
      <c r="E1333" s="3" t="s">
        <v>22</v>
      </c>
      <c r="F1333" s="3">
        <v>29</v>
      </c>
      <c r="G1333" s="3" t="s">
        <v>16</v>
      </c>
      <c r="H1333" s="3" t="s">
        <v>2253</v>
      </c>
      <c r="I1333" s="3"/>
      <c r="J1333" s="3" t="s">
        <v>17</v>
      </c>
      <c r="K1333" s="3">
        <v>69790</v>
      </c>
    </row>
    <row r="1334" spans="1:11">
      <c r="A1334" s="3" t="s">
        <v>2595</v>
      </c>
      <c r="B1334" s="3" t="s">
        <v>102</v>
      </c>
      <c r="C1334" s="3" t="s">
        <v>32</v>
      </c>
      <c r="D1334" s="3" t="s">
        <v>14</v>
      </c>
      <c r="E1334" s="3" t="s">
        <v>15</v>
      </c>
      <c r="F1334" s="3">
        <v>38</v>
      </c>
      <c r="G1334" s="3" t="s">
        <v>16</v>
      </c>
      <c r="H1334" s="3" t="s">
        <v>49</v>
      </c>
      <c r="I1334" s="3"/>
      <c r="J1334" s="3" t="s">
        <v>17</v>
      </c>
      <c r="K1334" s="3">
        <v>73283</v>
      </c>
    </row>
    <row r="1335" spans="1:11">
      <c r="A1335" s="3" t="s">
        <v>2596</v>
      </c>
      <c r="B1335" s="3" t="s">
        <v>263</v>
      </c>
      <c r="C1335" s="3" t="s">
        <v>53</v>
      </c>
      <c r="D1335" s="3" t="s">
        <v>43</v>
      </c>
      <c r="E1335" s="3" t="s">
        <v>70</v>
      </c>
      <c r="F1335" s="3">
        <v>24</v>
      </c>
      <c r="G1335" s="3" t="s">
        <v>23</v>
      </c>
      <c r="H1335" s="3" t="s">
        <v>2597</v>
      </c>
      <c r="I1335" s="3"/>
      <c r="J1335" s="3" t="s">
        <v>17</v>
      </c>
      <c r="K1335" s="3">
        <v>18000</v>
      </c>
    </row>
    <row r="1336" spans="1:11">
      <c r="A1336" s="3" t="s">
        <v>2598</v>
      </c>
      <c r="B1336" s="3" t="s">
        <v>145</v>
      </c>
      <c r="C1336" s="3" t="s">
        <v>135</v>
      </c>
      <c r="D1336" s="3" t="s">
        <v>64</v>
      </c>
      <c r="E1336" s="3" t="s">
        <v>161</v>
      </c>
      <c r="F1336" s="3">
        <v>39</v>
      </c>
      <c r="G1336" s="3" t="s">
        <v>16</v>
      </c>
      <c r="H1336" s="3" t="s">
        <v>2599</v>
      </c>
      <c r="I1336" s="3"/>
      <c r="J1336" s="3" t="s">
        <v>17</v>
      </c>
      <c r="K1336" s="3">
        <v>18000</v>
      </c>
    </row>
    <row r="1337" spans="1:11">
      <c r="A1337" s="3" t="s">
        <v>2600</v>
      </c>
      <c r="B1337" s="3" t="s">
        <v>125</v>
      </c>
      <c r="C1337" s="3" t="s">
        <v>94</v>
      </c>
      <c r="D1337" s="3" t="s">
        <v>21</v>
      </c>
      <c r="E1337" s="3" t="s">
        <v>155</v>
      </c>
      <c r="F1337" s="3">
        <v>25</v>
      </c>
      <c r="G1337" s="3" t="s">
        <v>16</v>
      </c>
      <c r="H1337" s="3" t="s">
        <v>1462</v>
      </c>
      <c r="I1337" s="3"/>
      <c r="J1337" s="3" t="s">
        <v>17</v>
      </c>
      <c r="K1337" s="3">
        <v>72467</v>
      </c>
    </row>
    <row r="1338" spans="1:11">
      <c r="A1338" s="3" t="s">
        <v>2601</v>
      </c>
      <c r="B1338" s="3" t="s">
        <v>134</v>
      </c>
      <c r="C1338" s="3" t="s">
        <v>59</v>
      </c>
      <c r="D1338" s="3" t="s">
        <v>43</v>
      </c>
      <c r="E1338" s="3" t="s">
        <v>70</v>
      </c>
      <c r="F1338" s="3">
        <v>23</v>
      </c>
      <c r="G1338" s="3" t="s">
        <v>16</v>
      </c>
      <c r="H1338" s="3" t="s">
        <v>2602</v>
      </c>
      <c r="I1338" s="3"/>
      <c r="J1338" s="3" t="s">
        <v>17</v>
      </c>
      <c r="K1338" s="3">
        <v>19800</v>
      </c>
    </row>
    <row r="1339" spans="1:11">
      <c r="A1339" s="3" t="s">
        <v>2603</v>
      </c>
      <c r="B1339" s="3" t="s">
        <v>58</v>
      </c>
      <c r="C1339" s="3" t="s">
        <v>169</v>
      </c>
      <c r="D1339" s="3" t="s">
        <v>33</v>
      </c>
      <c r="E1339" s="3" t="s">
        <v>34</v>
      </c>
      <c r="F1339" s="3">
        <v>47</v>
      </c>
      <c r="G1339" s="3" t="s">
        <v>23</v>
      </c>
      <c r="H1339" s="3" t="s">
        <v>2604</v>
      </c>
      <c r="I1339" s="3"/>
      <c r="J1339" s="3" t="s">
        <v>17</v>
      </c>
      <c r="K1339" s="3">
        <v>47495</v>
      </c>
    </row>
    <row r="1340" spans="1:11">
      <c r="A1340" s="3" t="s">
        <v>2605</v>
      </c>
      <c r="B1340" s="3" t="s">
        <v>62</v>
      </c>
      <c r="C1340" s="3" t="s">
        <v>38</v>
      </c>
      <c r="D1340" s="3" t="s">
        <v>27</v>
      </c>
      <c r="E1340" s="3" t="s">
        <v>54</v>
      </c>
      <c r="F1340" s="3">
        <v>29</v>
      </c>
      <c r="G1340" s="3" t="s">
        <v>16</v>
      </c>
      <c r="H1340" s="3" t="s">
        <v>2606</v>
      </c>
      <c r="I1340" s="3"/>
      <c r="J1340" s="3" t="s">
        <v>17</v>
      </c>
      <c r="K1340" s="3">
        <v>69147</v>
      </c>
    </row>
    <row r="1341" spans="1:11">
      <c r="A1341" s="3" t="s">
        <v>2607</v>
      </c>
      <c r="B1341" s="3" t="s">
        <v>93</v>
      </c>
      <c r="C1341" s="3" t="s">
        <v>249</v>
      </c>
      <c r="D1341" s="3" t="s">
        <v>27</v>
      </c>
      <c r="E1341" s="3" t="s">
        <v>122</v>
      </c>
      <c r="F1341" s="3">
        <v>47</v>
      </c>
      <c r="G1341" s="3" t="s">
        <v>16</v>
      </c>
      <c r="H1341" s="3" t="s">
        <v>2517</v>
      </c>
      <c r="I1341" s="3"/>
      <c r="J1341" s="3" t="s">
        <v>17</v>
      </c>
      <c r="K1341" s="3">
        <v>46110</v>
      </c>
    </row>
    <row r="1342" spans="1:11">
      <c r="A1342" s="3" t="s">
        <v>2608</v>
      </c>
      <c r="B1342" s="3" t="s">
        <v>223</v>
      </c>
      <c r="C1342" s="3" t="s">
        <v>38</v>
      </c>
      <c r="D1342" s="3" t="s">
        <v>43</v>
      </c>
      <c r="E1342" s="3" t="s">
        <v>70</v>
      </c>
      <c r="F1342" s="3">
        <v>33</v>
      </c>
      <c r="G1342" s="3" t="s">
        <v>16</v>
      </c>
      <c r="H1342" s="3" t="s">
        <v>939</v>
      </c>
      <c r="I1342" s="3"/>
      <c r="J1342" s="3" t="s">
        <v>17</v>
      </c>
      <c r="K1342" s="3">
        <v>63347</v>
      </c>
    </row>
    <row r="1343" spans="1:11">
      <c r="A1343" s="3" t="s">
        <v>2609</v>
      </c>
      <c r="B1343" s="3" t="s">
        <v>68</v>
      </c>
      <c r="C1343" s="3" t="s">
        <v>249</v>
      </c>
      <c r="D1343" s="3" t="s">
        <v>43</v>
      </c>
      <c r="E1343" s="3" t="s">
        <v>48</v>
      </c>
      <c r="F1343" s="3">
        <v>32</v>
      </c>
      <c r="G1343" s="3" t="s">
        <v>23</v>
      </c>
      <c r="H1343" s="3" t="s">
        <v>1843</v>
      </c>
      <c r="I1343" s="3"/>
      <c r="J1343" s="3" t="s">
        <v>17</v>
      </c>
      <c r="K1343" s="3">
        <v>60371</v>
      </c>
    </row>
    <row r="1344" spans="1:11">
      <c r="A1344" s="3" t="s">
        <v>2610</v>
      </c>
      <c r="B1344" s="3" t="s">
        <v>106</v>
      </c>
      <c r="C1344" s="3" t="s">
        <v>20</v>
      </c>
      <c r="D1344" s="3" t="s">
        <v>64</v>
      </c>
      <c r="E1344" s="3" t="s">
        <v>161</v>
      </c>
      <c r="F1344" s="3">
        <v>31</v>
      </c>
      <c r="G1344" s="3" t="s">
        <v>16</v>
      </c>
      <c r="H1344" s="3" t="s">
        <v>2611</v>
      </c>
      <c r="I1344" s="3"/>
      <c r="J1344" s="3" t="s">
        <v>17</v>
      </c>
      <c r="K1344" s="3">
        <v>35893</v>
      </c>
    </row>
    <row r="1345" spans="1:11">
      <c r="A1345" s="3" t="s">
        <v>2612</v>
      </c>
      <c r="B1345" s="3" t="s">
        <v>223</v>
      </c>
      <c r="C1345" s="3" t="s">
        <v>53</v>
      </c>
      <c r="D1345" s="3" t="s">
        <v>21</v>
      </c>
      <c r="E1345" s="3" t="s">
        <v>155</v>
      </c>
      <c r="F1345" s="3">
        <v>21</v>
      </c>
      <c r="G1345" s="3" t="s">
        <v>16</v>
      </c>
      <c r="H1345" s="3" t="s">
        <v>475</v>
      </c>
      <c r="I1345" s="3"/>
      <c r="J1345" s="3" t="s">
        <v>17</v>
      </c>
      <c r="K1345" s="3">
        <v>47712</v>
      </c>
    </row>
    <row r="1346" spans="1:11">
      <c r="A1346" s="3" t="s">
        <v>2613</v>
      </c>
      <c r="B1346" s="3" t="s">
        <v>12</v>
      </c>
      <c r="C1346" s="3" t="s">
        <v>69</v>
      </c>
      <c r="D1346" s="3" t="s">
        <v>27</v>
      </c>
      <c r="E1346" s="3" t="s">
        <v>54</v>
      </c>
      <c r="F1346" s="3">
        <v>38</v>
      </c>
      <c r="G1346" s="3" t="s">
        <v>16</v>
      </c>
      <c r="H1346" s="3" t="s">
        <v>2614</v>
      </c>
      <c r="I1346" s="3"/>
      <c r="J1346" s="3" t="s">
        <v>17</v>
      </c>
      <c r="K1346" s="3">
        <v>61321</v>
      </c>
    </row>
    <row r="1347" spans="1:11">
      <c r="A1347" s="3" t="s">
        <v>2615</v>
      </c>
      <c r="B1347" s="3" t="s">
        <v>41</v>
      </c>
      <c r="C1347" s="3" t="s">
        <v>113</v>
      </c>
      <c r="D1347" s="3" t="s">
        <v>21</v>
      </c>
      <c r="E1347" s="3" t="s">
        <v>95</v>
      </c>
      <c r="F1347" s="3">
        <v>40</v>
      </c>
      <c r="G1347" s="3" t="s">
        <v>16</v>
      </c>
      <c r="H1347" s="3" t="s">
        <v>2616</v>
      </c>
      <c r="I1347" s="3"/>
      <c r="J1347" s="3" t="s">
        <v>17</v>
      </c>
      <c r="K1347" s="3">
        <v>65037</v>
      </c>
    </row>
    <row r="1348" spans="1:11">
      <c r="A1348" s="3" t="s">
        <v>2617</v>
      </c>
      <c r="B1348" s="3" t="s">
        <v>37</v>
      </c>
      <c r="C1348" s="3" t="s">
        <v>169</v>
      </c>
      <c r="D1348" s="3" t="s">
        <v>43</v>
      </c>
      <c r="E1348" s="3" t="s">
        <v>70</v>
      </c>
      <c r="F1348" s="3">
        <v>26</v>
      </c>
      <c r="G1348" s="3" t="s">
        <v>16</v>
      </c>
      <c r="H1348" s="3" t="s">
        <v>2618</v>
      </c>
      <c r="I1348" s="3"/>
      <c r="J1348" s="3" t="s">
        <v>17</v>
      </c>
      <c r="K1348" s="3">
        <v>29280</v>
      </c>
    </row>
    <row r="1349" spans="1:11">
      <c r="A1349" s="3" t="s">
        <v>2619</v>
      </c>
      <c r="B1349" s="3" t="s">
        <v>19</v>
      </c>
      <c r="C1349" s="3" t="s">
        <v>63</v>
      </c>
      <c r="D1349" s="3" t="s">
        <v>27</v>
      </c>
      <c r="E1349" s="3" t="s">
        <v>54</v>
      </c>
      <c r="F1349" s="3">
        <v>39</v>
      </c>
      <c r="G1349" s="3" t="s">
        <v>23</v>
      </c>
      <c r="H1349" s="3" t="s">
        <v>2620</v>
      </c>
      <c r="I1349" s="3"/>
      <c r="J1349" s="3" t="s">
        <v>17</v>
      </c>
      <c r="K1349" s="3">
        <v>41622</v>
      </c>
    </row>
    <row r="1350" spans="1:11">
      <c r="A1350" s="3" t="s">
        <v>2621</v>
      </c>
      <c r="B1350" s="3" t="s">
        <v>141</v>
      </c>
      <c r="C1350" s="3" t="s">
        <v>113</v>
      </c>
      <c r="D1350" s="3" t="s">
        <v>21</v>
      </c>
      <c r="E1350" s="3" t="s">
        <v>155</v>
      </c>
      <c r="F1350" s="3">
        <v>27</v>
      </c>
      <c r="G1350" s="3" t="s">
        <v>23</v>
      </c>
      <c r="H1350" s="3" t="s">
        <v>2160</v>
      </c>
      <c r="I1350" s="3"/>
      <c r="J1350" s="3" t="s">
        <v>17</v>
      </c>
      <c r="K1350" s="3">
        <v>61590</v>
      </c>
    </row>
    <row r="1351" spans="1:11">
      <c r="A1351" s="3" t="s">
        <v>2622</v>
      </c>
      <c r="B1351" s="3" t="s">
        <v>238</v>
      </c>
      <c r="C1351" s="3" t="s">
        <v>83</v>
      </c>
      <c r="D1351" s="3" t="s">
        <v>64</v>
      </c>
      <c r="E1351" s="3" t="s">
        <v>161</v>
      </c>
      <c r="F1351" s="3">
        <v>35</v>
      </c>
      <c r="G1351" s="3" t="s">
        <v>23</v>
      </c>
      <c r="H1351" s="3" t="s">
        <v>2623</v>
      </c>
      <c r="I1351" s="3"/>
      <c r="J1351" s="3" t="s">
        <v>17</v>
      </c>
      <c r="K1351" s="3">
        <v>53740</v>
      </c>
    </row>
    <row r="1352" spans="1:11">
      <c r="A1352" s="3" t="s">
        <v>2624</v>
      </c>
      <c r="B1352" s="3" t="s">
        <v>25</v>
      </c>
      <c r="C1352" s="3" t="s">
        <v>13</v>
      </c>
      <c r="D1352" s="3" t="s">
        <v>21</v>
      </c>
      <c r="E1352" s="3" t="s">
        <v>87</v>
      </c>
      <c r="F1352" s="3">
        <v>38</v>
      </c>
      <c r="G1352" s="3" t="s">
        <v>23</v>
      </c>
      <c r="H1352" s="3" t="s">
        <v>1670</v>
      </c>
      <c r="I1352" s="3"/>
      <c r="J1352" s="3" t="s">
        <v>17</v>
      </c>
      <c r="K1352" s="3">
        <v>18000</v>
      </c>
    </row>
    <row r="1353" spans="1:11">
      <c r="A1353" s="3" t="s">
        <v>2625</v>
      </c>
      <c r="B1353" s="3" t="s">
        <v>263</v>
      </c>
      <c r="C1353" s="3" t="s">
        <v>53</v>
      </c>
      <c r="D1353" s="3" t="s">
        <v>21</v>
      </c>
      <c r="E1353" s="3" t="s">
        <v>95</v>
      </c>
      <c r="F1353" s="3">
        <v>23</v>
      </c>
      <c r="G1353" s="3" t="s">
        <v>16</v>
      </c>
      <c r="H1353" s="3" t="s">
        <v>2626</v>
      </c>
      <c r="I1353" s="3"/>
      <c r="J1353" s="3" t="s">
        <v>17</v>
      </c>
      <c r="K1353" s="3">
        <v>56245</v>
      </c>
    </row>
    <row r="1354" spans="1:11">
      <c r="A1354" s="3" t="s">
        <v>2627</v>
      </c>
      <c r="B1354" s="3" t="s">
        <v>73</v>
      </c>
      <c r="C1354" s="3" t="s">
        <v>249</v>
      </c>
      <c r="D1354" s="3" t="s">
        <v>33</v>
      </c>
      <c r="E1354" s="3" t="s">
        <v>34</v>
      </c>
      <c r="F1354" s="3">
        <v>32</v>
      </c>
      <c r="G1354" s="3" t="s">
        <v>16</v>
      </c>
      <c r="H1354" s="3" t="s">
        <v>2628</v>
      </c>
      <c r="I1354" s="3"/>
      <c r="J1354" s="3" t="s">
        <v>17</v>
      </c>
      <c r="K1354" s="3">
        <v>31372</v>
      </c>
    </row>
    <row r="1355" spans="1:11">
      <c r="A1355" s="3" t="s">
        <v>2629</v>
      </c>
      <c r="B1355" s="3" t="s">
        <v>58</v>
      </c>
      <c r="C1355" s="3" t="s">
        <v>164</v>
      </c>
      <c r="D1355" s="3" t="s">
        <v>14</v>
      </c>
      <c r="E1355" s="3" t="s">
        <v>75</v>
      </c>
      <c r="F1355" s="3">
        <v>53</v>
      </c>
      <c r="G1355" s="3" t="s">
        <v>16</v>
      </c>
      <c r="H1355" s="3" t="s">
        <v>2630</v>
      </c>
      <c r="I1355" s="3"/>
      <c r="J1355" s="3" t="s">
        <v>17</v>
      </c>
      <c r="K1355" s="3">
        <v>43612</v>
      </c>
    </row>
    <row r="1356" spans="1:11">
      <c r="A1356" s="3" t="s">
        <v>2631</v>
      </c>
      <c r="B1356" s="3" t="s">
        <v>109</v>
      </c>
      <c r="C1356" s="3" t="s">
        <v>135</v>
      </c>
      <c r="D1356" s="3" t="s">
        <v>43</v>
      </c>
      <c r="E1356" s="3" t="s">
        <v>44</v>
      </c>
      <c r="F1356" s="3">
        <v>36</v>
      </c>
      <c r="G1356" s="3" t="s">
        <v>16</v>
      </c>
      <c r="H1356" s="3" t="s">
        <v>2632</v>
      </c>
      <c r="I1356" s="3" t="s">
        <v>50</v>
      </c>
      <c r="J1356" s="3" t="s">
        <v>51</v>
      </c>
      <c r="K1356" s="3">
        <v>23857</v>
      </c>
    </row>
    <row r="1357" spans="1:11">
      <c r="A1357" s="3" t="s">
        <v>2633</v>
      </c>
      <c r="B1357" s="3" t="s">
        <v>41</v>
      </c>
      <c r="C1357" s="3" t="s">
        <v>205</v>
      </c>
      <c r="D1357" s="3" t="s">
        <v>118</v>
      </c>
      <c r="E1357" s="3" t="s">
        <v>48</v>
      </c>
      <c r="F1357" s="3">
        <v>24</v>
      </c>
      <c r="G1357" s="3" t="s">
        <v>16</v>
      </c>
      <c r="H1357" s="3" t="s">
        <v>1044</v>
      </c>
      <c r="I1357" s="3"/>
      <c r="J1357" s="3" t="s">
        <v>17</v>
      </c>
      <c r="K1357" s="3">
        <v>85325</v>
      </c>
    </row>
    <row r="1358" spans="1:11">
      <c r="A1358" s="3" t="s">
        <v>2634</v>
      </c>
      <c r="B1358" s="3" t="s">
        <v>25</v>
      </c>
      <c r="C1358" s="3" t="s">
        <v>26</v>
      </c>
      <c r="D1358" s="3" t="s">
        <v>21</v>
      </c>
      <c r="E1358" s="3" t="s">
        <v>87</v>
      </c>
      <c r="F1358" s="3">
        <v>27</v>
      </c>
      <c r="G1358" s="3" t="s">
        <v>16</v>
      </c>
      <c r="H1358" s="3" t="s">
        <v>2635</v>
      </c>
      <c r="I1358" s="3"/>
      <c r="J1358" s="3" t="s">
        <v>17</v>
      </c>
      <c r="K1358" s="3">
        <v>74809</v>
      </c>
    </row>
    <row r="1359" spans="1:11">
      <c r="A1359" s="3" t="s">
        <v>2636</v>
      </c>
      <c r="B1359" s="3" t="s">
        <v>128</v>
      </c>
      <c r="C1359" s="3" t="s">
        <v>103</v>
      </c>
      <c r="D1359" s="3" t="s">
        <v>27</v>
      </c>
      <c r="E1359" s="3" t="s">
        <v>28</v>
      </c>
      <c r="F1359" s="3">
        <v>37</v>
      </c>
      <c r="G1359" s="3" t="s">
        <v>16</v>
      </c>
      <c r="H1359" s="3" t="s">
        <v>2637</v>
      </c>
      <c r="I1359" s="3"/>
      <c r="J1359" s="3" t="s">
        <v>17</v>
      </c>
      <c r="K1359" s="3">
        <v>46052</v>
      </c>
    </row>
    <row r="1360" spans="1:11">
      <c r="A1360" s="3" t="s">
        <v>2638</v>
      </c>
      <c r="B1360" s="3" t="s">
        <v>125</v>
      </c>
      <c r="C1360" s="3" t="s">
        <v>177</v>
      </c>
      <c r="D1360" s="3" t="s">
        <v>43</v>
      </c>
      <c r="E1360" s="3" t="s">
        <v>70</v>
      </c>
      <c r="F1360" s="3">
        <v>36</v>
      </c>
      <c r="G1360" s="3" t="s">
        <v>23</v>
      </c>
      <c r="H1360" s="3" t="s">
        <v>2639</v>
      </c>
      <c r="I1360" s="3" t="s">
        <v>351</v>
      </c>
      <c r="J1360" s="3" t="s">
        <v>51</v>
      </c>
      <c r="K1360" s="3">
        <v>54787</v>
      </c>
    </row>
    <row r="1361" spans="1:11">
      <c r="A1361" s="3" t="s">
        <v>2640</v>
      </c>
      <c r="B1361" s="3" t="s">
        <v>160</v>
      </c>
      <c r="C1361" s="3" t="s">
        <v>129</v>
      </c>
      <c r="D1361" s="3" t="s">
        <v>21</v>
      </c>
      <c r="E1361" s="3" t="s">
        <v>155</v>
      </c>
      <c r="F1361" s="3">
        <v>26</v>
      </c>
      <c r="G1361" s="3" t="s">
        <v>23</v>
      </c>
      <c r="H1361" s="3" t="s">
        <v>2433</v>
      </c>
      <c r="I1361" s="3"/>
      <c r="J1361" s="3" t="s">
        <v>17</v>
      </c>
      <c r="K1361" s="3">
        <v>71037</v>
      </c>
    </row>
    <row r="1362" spans="1:11">
      <c r="A1362" s="3" t="s">
        <v>2641</v>
      </c>
      <c r="B1362" s="3" t="s">
        <v>78</v>
      </c>
      <c r="C1362" s="3" t="s">
        <v>42</v>
      </c>
      <c r="D1362" s="3" t="s">
        <v>21</v>
      </c>
      <c r="E1362" s="3" t="s">
        <v>22</v>
      </c>
      <c r="F1362" s="3">
        <v>27</v>
      </c>
      <c r="G1362" s="3" t="s">
        <v>23</v>
      </c>
      <c r="H1362" s="3" t="s">
        <v>2064</v>
      </c>
      <c r="I1362" s="3"/>
      <c r="J1362" s="3" t="s">
        <v>17</v>
      </c>
      <c r="K1362" s="3">
        <v>48302</v>
      </c>
    </row>
    <row r="1363" spans="1:11">
      <c r="A1363" s="3" t="s">
        <v>2642</v>
      </c>
      <c r="B1363" s="3" t="s">
        <v>112</v>
      </c>
      <c r="C1363" s="3" t="s">
        <v>13</v>
      </c>
      <c r="D1363" s="3" t="s">
        <v>64</v>
      </c>
      <c r="E1363" s="3" t="s">
        <v>266</v>
      </c>
      <c r="F1363" s="3">
        <v>27</v>
      </c>
      <c r="G1363" s="3" t="s">
        <v>16</v>
      </c>
      <c r="H1363" s="3" t="s">
        <v>2643</v>
      </c>
      <c r="I1363" s="3"/>
      <c r="J1363" s="3" t="s">
        <v>17</v>
      </c>
      <c r="K1363" s="3">
        <v>68161</v>
      </c>
    </row>
    <row r="1364" spans="1:11">
      <c r="A1364" s="3" t="s">
        <v>2644</v>
      </c>
      <c r="B1364" s="3" t="s">
        <v>109</v>
      </c>
      <c r="C1364" s="3" t="s">
        <v>103</v>
      </c>
      <c r="D1364" s="3" t="s">
        <v>809</v>
      </c>
      <c r="E1364" s="3" t="s">
        <v>70</v>
      </c>
      <c r="F1364" s="3">
        <v>38</v>
      </c>
      <c r="G1364" s="3" t="s">
        <v>16</v>
      </c>
      <c r="H1364" s="3" t="s">
        <v>1356</v>
      </c>
      <c r="I1364" s="3"/>
      <c r="J1364" s="3" t="s">
        <v>17</v>
      </c>
      <c r="K1364" s="3">
        <v>74537</v>
      </c>
    </row>
    <row r="1365" spans="1:11">
      <c r="A1365" s="3" t="s">
        <v>2645</v>
      </c>
      <c r="B1365" s="3" t="s">
        <v>223</v>
      </c>
      <c r="C1365" s="3" t="s">
        <v>205</v>
      </c>
      <c r="D1365" s="3" t="s">
        <v>64</v>
      </c>
      <c r="E1365" s="3" t="s">
        <v>266</v>
      </c>
      <c r="F1365" s="3">
        <v>28</v>
      </c>
      <c r="G1365" s="3" t="s">
        <v>23</v>
      </c>
      <c r="H1365" s="3" t="s">
        <v>2058</v>
      </c>
      <c r="I1365" s="3"/>
      <c r="J1365" s="3" t="s">
        <v>17</v>
      </c>
      <c r="K1365" s="3">
        <v>42669</v>
      </c>
    </row>
    <row r="1366" spans="1:11">
      <c r="A1366" s="3" t="s">
        <v>2646</v>
      </c>
      <c r="B1366" s="3" t="s">
        <v>125</v>
      </c>
      <c r="C1366" s="3" t="s">
        <v>103</v>
      </c>
      <c r="D1366" s="3" t="s">
        <v>64</v>
      </c>
      <c r="E1366" s="3" t="s">
        <v>65</v>
      </c>
      <c r="F1366" s="3">
        <v>24</v>
      </c>
      <c r="G1366" s="3" t="s">
        <v>16</v>
      </c>
      <c r="H1366" s="3" t="s">
        <v>2097</v>
      </c>
      <c r="I1366" s="3" t="s">
        <v>2647</v>
      </c>
      <c r="J1366" s="3" t="s">
        <v>51</v>
      </c>
      <c r="K1366" s="3">
        <v>68788</v>
      </c>
    </row>
    <row r="1367" spans="1:11">
      <c r="A1367" s="3" t="s">
        <v>2648</v>
      </c>
      <c r="B1367" s="3" t="s">
        <v>68</v>
      </c>
      <c r="C1367" s="3" t="s">
        <v>83</v>
      </c>
      <c r="D1367" s="3" t="s">
        <v>14</v>
      </c>
      <c r="E1367" s="3" t="s">
        <v>75</v>
      </c>
      <c r="F1367" s="3">
        <v>26</v>
      </c>
      <c r="G1367" s="3" t="s">
        <v>23</v>
      </c>
      <c r="H1367" s="3" t="s">
        <v>2360</v>
      </c>
      <c r="I1367" s="3"/>
      <c r="J1367" s="3" t="s">
        <v>17</v>
      </c>
      <c r="K1367" s="3">
        <v>28307</v>
      </c>
    </row>
    <row r="1368" spans="1:11">
      <c r="A1368" s="3" t="s">
        <v>2649</v>
      </c>
      <c r="B1368" s="3" t="s">
        <v>252</v>
      </c>
      <c r="C1368" s="3" t="s">
        <v>129</v>
      </c>
      <c r="D1368" s="3" t="s">
        <v>27</v>
      </c>
      <c r="E1368" s="3" t="s">
        <v>28</v>
      </c>
      <c r="F1368" s="3">
        <v>26</v>
      </c>
      <c r="G1368" s="3" t="s">
        <v>16</v>
      </c>
      <c r="H1368" s="3" t="s">
        <v>961</v>
      </c>
      <c r="I1368" s="3"/>
      <c r="J1368" s="3" t="s">
        <v>17</v>
      </c>
      <c r="K1368" s="3">
        <v>86141</v>
      </c>
    </row>
    <row r="1369" spans="1:11">
      <c r="A1369" s="3" t="s">
        <v>2650</v>
      </c>
      <c r="B1369" s="3" t="s">
        <v>86</v>
      </c>
      <c r="C1369" s="3" t="s">
        <v>32</v>
      </c>
      <c r="D1369" s="3" t="s">
        <v>21</v>
      </c>
      <c r="E1369" s="3" t="s">
        <v>95</v>
      </c>
      <c r="F1369" s="3">
        <v>23</v>
      </c>
      <c r="G1369" s="3" t="s">
        <v>16</v>
      </c>
      <c r="H1369" s="3" t="s">
        <v>2651</v>
      </c>
      <c r="I1369" s="3"/>
      <c r="J1369" s="3" t="s">
        <v>17</v>
      </c>
      <c r="K1369" s="3">
        <v>39902</v>
      </c>
    </row>
    <row r="1370" spans="1:11">
      <c r="A1370" s="3" t="s">
        <v>2652</v>
      </c>
      <c r="B1370" s="3" t="s">
        <v>468</v>
      </c>
      <c r="C1370" s="3" t="s">
        <v>249</v>
      </c>
      <c r="D1370" s="3" t="s">
        <v>21</v>
      </c>
      <c r="E1370" s="3" t="s">
        <v>87</v>
      </c>
      <c r="F1370" s="3">
        <v>40</v>
      </c>
      <c r="G1370" s="3" t="s">
        <v>23</v>
      </c>
      <c r="H1370" s="3" t="s">
        <v>2653</v>
      </c>
      <c r="I1370" s="3"/>
      <c r="J1370" s="3" t="s">
        <v>17</v>
      </c>
      <c r="K1370" s="3">
        <v>76450</v>
      </c>
    </row>
    <row r="1371" spans="1:11">
      <c r="A1371" s="3" t="s">
        <v>2654</v>
      </c>
      <c r="B1371" s="3" t="s">
        <v>401</v>
      </c>
      <c r="C1371" s="3" t="s">
        <v>32</v>
      </c>
      <c r="D1371" s="3" t="s">
        <v>43</v>
      </c>
      <c r="E1371" s="3" t="s">
        <v>48</v>
      </c>
      <c r="F1371" s="3">
        <v>43</v>
      </c>
      <c r="G1371" s="3" t="s">
        <v>23</v>
      </c>
      <c r="H1371" s="3" t="s">
        <v>1672</v>
      </c>
      <c r="I1371" s="3"/>
      <c r="J1371" s="3" t="s">
        <v>17</v>
      </c>
      <c r="K1371" s="3">
        <v>93969</v>
      </c>
    </row>
    <row r="1372" spans="1:11">
      <c r="A1372" s="3" t="s">
        <v>2655</v>
      </c>
      <c r="B1372" s="3" t="s">
        <v>226</v>
      </c>
      <c r="C1372" s="3" t="s">
        <v>169</v>
      </c>
      <c r="D1372" s="3" t="s">
        <v>33</v>
      </c>
      <c r="E1372" s="3" t="s">
        <v>79</v>
      </c>
      <c r="F1372" s="3">
        <v>45</v>
      </c>
      <c r="G1372" s="3" t="s">
        <v>16</v>
      </c>
      <c r="H1372" s="3" t="s">
        <v>2656</v>
      </c>
      <c r="I1372" s="3"/>
      <c r="J1372" s="3" t="s">
        <v>17</v>
      </c>
      <c r="K1372" s="3">
        <v>45478</v>
      </c>
    </row>
    <row r="1373" spans="1:11">
      <c r="A1373" s="3" t="s">
        <v>2657</v>
      </c>
      <c r="B1373" s="3" t="s">
        <v>86</v>
      </c>
      <c r="C1373" s="3" t="s">
        <v>26</v>
      </c>
      <c r="D1373" s="3" t="s">
        <v>64</v>
      </c>
      <c r="E1373" s="3" t="s">
        <v>65</v>
      </c>
      <c r="F1373" s="3">
        <v>28</v>
      </c>
      <c r="G1373" s="3" t="s">
        <v>23</v>
      </c>
      <c r="H1373" s="3" t="s">
        <v>2658</v>
      </c>
      <c r="I1373" s="3"/>
      <c r="J1373" s="3" t="s">
        <v>17</v>
      </c>
      <c r="K1373" s="3">
        <v>35831</v>
      </c>
    </row>
    <row r="1374" spans="1:11">
      <c r="A1374" s="3" t="s">
        <v>2659</v>
      </c>
      <c r="B1374" s="3" t="s">
        <v>62</v>
      </c>
      <c r="C1374" s="3" t="s">
        <v>169</v>
      </c>
      <c r="D1374" s="3" t="s">
        <v>27</v>
      </c>
      <c r="E1374" s="3" t="s">
        <v>28</v>
      </c>
      <c r="F1374" s="3">
        <v>28</v>
      </c>
      <c r="G1374" s="3" t="s">
        <v>23</v>
      </c>
      <c r="H1374" s="3" t="s">
        <v>2660</v>
      </c>
      <c r="I1374" s="3"/>
      <c r="J1374" s="3" t="s">
        <v>17</v>
      </c>
      <c r="K1374" s="3">
        <v>77700</v>
      </c>
    </row>
    <row r="1375" spans="1:11">
      <c r="A1375" s="3" t="s">
        <v>2661</v>
      </c>
      <c r="B1375" s="3" t="s">
        <v>238</v>
      </c>
      <c r="C1375" s="3" t="s">
        <v>164</v>
      </c>
      <c r="D1375" s="3" t="s">
        <v>33</v>
      </c>
      <c r="E1375" s="3" t="s">
        <v>79</v>
      </c>
      <c r="F1375" s="3">
        <v>36</v>
      </c>
      <c r="G1375" s="3" t="s">
        <v>16</v>
      </c>
      <c r="H1375" s="3" t="s">
        <v>2662</v>
      </c>
      <c r="I1375" s="3"/>
      <c r="J1375" s="3" t="s">
        <v>17</v>
      </c>
      <c r="K1375" s="3">
        <v>37789</v>
      </c>
    </row>
    <row r="1376" spans="1:11">
      <c r="A1376" s="3" t="s">
        <v>2663</v>
      </c>
      <c r="B1376" s="3" t="s">
        <v>216</v>
      </c>
      <c r="C1376" s="3" t="s">
        <v>26</v>
      </c>
      <c r="D1376" s="3" t="s">
        <v>27</v>
      </c>
      <c r="E1376" s="3" t="s">
        <v>28</v>
      </c>
      <c r="F1376" s="3">
        <v>22</v>
      </c>
      <c r="G1376" s="3" t="s">
        <v>23</v>
      </c>
      <c r="H1376" s="3" t="s">
        <v>2664</v>
      </c>
      <c r="I1376" s="3"/>
      <c r="J1376" s="3" t="s">
        <v>17</v>
      </c>
      <c r="K1376" s="3">
        <v>52097</v>
      </c>
    </row>
    <row r="1377" spans="1:11">
      <c r="A1377" s="3" t="s">
        <v>2665</v>
      </c>
      <c r="B1377" s="3" t="s">
        <v>82</v>
      </c>
      <c r="C1377" s="3" t="s">
        <v>59</v>
      </c>
      <c r="D1377" s="3" t="s">
        <v>21</v>
      </c>
      <c r="E1377" s="3" t="s">
        <v>95</v>
      </c>
      <c r="F1377" s="3">
        <v>33</v>
      </c>
      <c r="G1377" s="3" t="s">
        <v>23</v>
      </c>
      <c r="H1377" s="3" t="s">
        <v>2666</v>
      </c>
      <c r="I1377" s="3"/>
      <c r="J1377" s="3" t="s">
        <v>17</v>
      </c>
      <c r="K1377" s="3">
        <v>60088</v>
      </c>
    </row>
    <row r="1378" spans="1:11">
      <c r="A1378" s="3" t="s">
        <v>2667</v>
      </c>
      <c r="B1378" s="3" t="s">
        <v>134</v>
      </c>
      <c r="C1378" s="3" t="s">
        <v>38</v>
      </c>
      <c r="D1378" s="3" t="s">
        <v>43</v>
      </c>
      <c r="E1378" s="3" t="s">
        <v>44</v>
      </c>
      <c r="F1378" s="3">
        <v>27</v>
      </c>
      <c r="G1378" s="3" t="s">
        <v>16</v>
      </c>
      <c r="H1378" s="3" t="s">
        <v>2105</v>
      </c>
      <c r="I1378" s="3"/>
      <c r="J1378" s="3" t="s">
        <v>17</v>
      </c>
      <c r="K1378" s="3">
        <v>59797</v>
      </c>
    </row>
    <row r="1379" spans="1:11">
      <c r="A1379" s="3" t="s">
        <v>2668</v>
      </c>
      <c r="B1379" s="3" t="s">
        <v>90</v>
      </c>
      <c r="C1379" s="3" t="s">
        <v>74</v>
      </c>
      <c r="D1379" s="3" t="s">
        <v>21</v>
      </c>
      <c r="E1379" s="3" t="s">
        <v>95</v>
      </c>
      <c r="F1379" s="3">
        <v>30</v>
      </c>
      <c r="G1379" s="3" t="s">
        <v>23</v>
      </c>
      <c r="H1379" s="3" t="s">
        <v>2669</v>
      </c>
      <c r="I1379" s="3"/>
      <c r="J1379" s="3" t="s">
        <v>17</v>
      </c>
      <c r="K1379" s="3">
        <v>33718</v>
      </c>
    </row>
    <row r="1380" spans="1:11">
      <c r="A1380" s="3" t="s">
        <v>2670</v>
      </c>
      <c r="B1380" s="3" t="s">
        <v>82</v>
      </c>
      <c r="C1380" s="3" t="s">
        <v>53</v>
      </c>
      <c r="D1380" s="3" t="s">
        <v>187</v>
      </c>
      <c r="E1380" s="3" t="s">
        <v>155</v>
      </c>
      <c r="F1380" s="3">
        <v>37</v>
      </c>
      <c r="G1380" s="3" t="s">
        <v>16</v>
      </c>
      <c r="H1380" s="3" t="s">
        <v>2671</v>
      </c>
      <c r="I1380" s="3"/>
      <c r="J1380" s="3" t="s">
        <v>17</v>
      </c>
      <c r="K1380" s="3">
        <v>38751</v>
      </c>
    </row>
    <row r="1381" spans="1:11">
      <c r="A1381" s="3" t="s">
        <v>2672</v>
      </c>
      <c r="B1381" s="3" t="s">
        <v>90</v>
      </c>
      <c r="C1381" s="3" t="s">
        <v>213</v>
      </c>
      <c r="D1381" s="3" t="s">
        <v>435</v>
      </c>
      <c r="E1381" s="3" t="s">
        <v>34</v>
      </c>
      <c r="F1381" s="3">
        <v>41</v>
      </c>
      <c r="G1381" s="3" t="s">
        <v>16</v>
      </c>
      <c r="H1381" s="3" t="s">
        <v>1505</v>
      </c>
      <c r="I1381" s="3"/>
      <c r="J1381" s="3" t="s">
        <v>17</v>
      </c>
      <c r="K1381" s="3">
        <v>47693</v>
      </c>
    </row>
    <row r="1382" spans="1:11">
      <c r="A1382" s="3" t="s">
        <v>2673</v>
      </c>
      <c r="B1382" s="3" t="s">
        <v>78</v>
      </c>
      <c r="C1382" s="3" t="s">
        <v>174</v>
      </c>
      <c r="D1382" s="3" t="s">
        <v>27</v>
      </c>
      <c r="E1382" s="3" t="s">
        <v>122</v>
      </c>
      <c r="F1382" s="3">
        <v>21</v>
      </c>
      <c r="G1382" s="3" t="s">
        <v>23</v>
      </c>
      <c r="H1382" s="3" t="s">
        <v>2674</v>
      </c>
      <c r="I1382" s="3"/>
      <c r="J1382" s="3" t="s">
        <v>17</v>
      </c>
      <c r="K1382" s="3">
        <v>65082</v>
      </c>
    </row>
    <row r="1383" spans="1:11">
      <c r="A1383" s="3" t="s">
        <v>2675</v>
      </c>
      <c r="B1383" s="3" t="s">
        <v>86</v>
      </c>
      <c r="C1383" s="3" t="s">
        <v>59</v>
      </c>
      <c r="D1383" s="3" t="s">
        <v>33</v>
      </c>
      <c r="E1383" s="3" t="s">
        <v>79</v>
      </c>
      <c r="F1383" s="3">
        <v>22</v>
      </c>
      <c r="G1383" s="3" t="s">
        <v>16</v>
      </c>
      <c r="H1383" s="3" t="s">
        <v>2676</v>
      </c>
      <c r="I1383" s="3"/>
      <c r="J1383" s="3" t="s">
        <v>17</v>
      </c>
      <c r="K1383" s="3">
        <v>71971</v>
      </c>
    </row>
    <row r="1384" spans="1:11">
      <c r="A1384" s="3" t="s">
        <v>2677</v>
      </c>
      <c r="B1384" s="3" t="s">
        <v>128</v>
      </c>
      <c r="C1384" s="3" t="s">
        <v>42</v>
      </c>
      <c r="D1384" s="3" t="s">
        <v>43</v>
      </c>
      <c r="E1384" s="3" t="s">
        <v>48</v>
      </c>
      <c r="F1384" s="3">
        <v>40</v>
      </c>
      <c r="G1384" s="3" t="s">
        <v>23</v>
      </c>
      <c r="H1384" s="3" t="s">
        <v>768</v>
      </c>
      <c r="I1384" s="3" t="s">
        <v>2678</v>
      </c>
      <c r="J1384" s="3" t="s">
        <v>51</v>
      </c>
      <c r="K1384" s="3">
        <v>32892</v>
      </c>
    </row>
    <row r="1385" spans="1:11">
      <c r="A1385" s="3" t="s">
        <v>2679</v>
      </c>
      <c r="B1385" s="3" t="s">
        <v>12</v>
      </c>
      <c r="C1385" s="3" t="s">
        <v>249</v>
      </c>
      <c r="D1385" s="3" t="s">
        <v>43</v>
      </c>
      <c r="E1385" s="3" t="s">
        <v>44</v>
      </c>
      <c r="F1385" s="3">
        <v>23</v>
      </c>
      <c r="G1385" s="3" t="s">
        <v>16</v>
      </c>
      <c r="H1385" s="3" t="s">
        <v>2680</v>
      </c>
      <c r="I1385" s="3"/>
      <c r="J1385" s="3" t="s">
        <v>17</v>
      </c>
      <c r="K1385" s="3">
        <v>59092</v>
      </c>
    </row>
    <row r="1386" spans="1:11">
      <c r="A1386" s="3" t="s">
        <v>2681</v>
      </c>
      <c r="B1386" s="3" t="s">
        <v>90</v>
      </c>
      <c r="C1386" s="3" t="s">
        <v>74</v>
      </c>
      <c r="D1386" s="3" t="s">
        <v>33</v>
      </c>
      <c r="E1386" s="3" t="s">
        <v>34</v>
      </c>
      <c r="F1386" s="3">
        <v>33</v>
      </c>
      <c r="G1386" s="3" t="s">
        <v>16</v>
      </c>
      <c r="H1386" s="3" t="s">
        <v>219</v>
      </c>
      <c r="I1386" s="3"/>
      <c r="J1386" s="3" t="s">
        <v>17</v>
      </c>
      <c r="K1386" s="3">
        <v>43173</v>
      </c>
    </row>
    <row r="1387" spans="1:11">
      <c r="A1387" s="3" t="s">
        <v>2682</v>
      </c>
      <c r="B1387" s="3" t="s">
        <v>86</v>
      </c>
      <c r="C1387" s="3" t="s">
        <v>113</v>
      </c>
      <c r="D1387" s="3" t="s">
        <v>64</v>
      </c>
      <c r="E1387" s="3" t="s">
        <v>161</v>
      </c>
      <c r="F1387" s="3">
        <v>24</v>
      </c>
      <c r="G1387" s="3" t="s">
        <v>16</v>
      </c>
      <c r="H1387" s="3" t="s">
        <v>1021</v>
      </c>
      <c r="I1387" s="3"/>
      <c r="J1387" s="3" t="s">
        <v>17</v>
      </c>
      <c r="K1387" s="3">
        <v>32319</v>
      </c>
    </row>
    <row r="1388" spans="1:11">
      <c r="A1388" s="3" t="s">
        <v>2683</v>
      </c>
      <c r="B1388" s="3" t="s">
        <v>223</v>
      </c>
      <c r="C1388" s="3" t="s">
        <v>63</v>
      </c>
      <c r="D1388" s="3" t="s">
        <v>27</v>
      </c>
      <c r="E1388" s="3" t="s">
        <v>122</v>
      </c>
      <c r="F1388" s="3">
        <v>35</v>
      </c>
      <c r="G1388" s="3" t="s">
        <v>16</v>
      </c>
      <c r="H1388" s="3" t="s">
        <v>2365</v>
      </c>
      <c r="I1388" s="3" t="s">
        <v>2684</v>
      </c>
      <c r="J1388" s="3" t="s">
        <v>51</v>
      </c>
      <c r="K1388" s="3">
        <v>18000</v>
      </c>
    </row>
    <row r="1389" spans="1:11">
      <c r="A1389" s="3" t="s">
        <v>2685</v>
      </c>
      <c r="B1389" s="3" t="s">
        <v>121</v>
      </c>
      <c r="C1389" s="3" t="s">
        <v>38</v>
      </c>
      <c r="D1389" s="3" t="s">
        <v>14</v>
      </c>
      <c r="E1389" s="3" t="s">
        <v>15</v>
      </c>
      <c r="F1389" s="3">
        <v>32</v>
      </c>
      <c r="G1389" s="3" t="s">
        <v>16</v>
      </c>
      <c r="H1389" s="3" t="s">
        <v>2647</v>
      </c>
      <c r="I1389" s="3"/>
      <c r="J1389" s="3" t="s">
        <v>17</v>
      </c>
      <c r="K1389" s="3">
        <v>42994</v>
      </c>
    </row>
    <row r="1390" spans="1:11">
      <c r="A1390" s="3" t="s">
        <v>2686</v>
      </c>
      <c r="B1390" s="3" t="s">
        <v>238</v>
      </c>
      <c r="C1390" s="3" t="s">
        <v>59</v>
      </c>
      <c r="D1390" s="3" t="s">
        <v>64</v>
      </c>
      <c r="E1390" s="3" t="s">
        <v>266</v>
      </c>
      <c r="F1390" s="3">
        <v>38</v>
      </c>
      <c r="G1390" s="3" t="s">
        <v>16</v>
      </c>
      <c r="H1390" s="3" t="s">
        <v>2687</v>
      </c>
      <c r="I1390" s="3"/>
      <c r="J1390" s="3" t="s">
        <v>17</v>
      </c>
      <c r="K1390" s="3">
        <v>71519</v>
      </c>
    </row>
    <row r="1391" spans="1:11">
      <c r="A1391" s="3" t="s">
        <v>995</v>
      </c>
      <c r="B1391" s="3" t="s">
        <v>86</v>
      </c>
      <c r="C1391" s="3" t="s">
        <v>38</v>
      </c>
      <c r="D1391" s="3" t="s">
        <v>21</v>
      </c>
      <c r="E1391" s="3" t="s">
        <v>155</v>
      </c>
      <c r="F1391" s="3">
        <v>32</v>
      </c>
      <c r="G1391" s="3" t="s">
        <v>16</v>
      </c>
      <c r="H1391" s="3" t="s">
        <v>996</v>
      </c>
      <c r="I1391" s="3"/>
      <c r="J1391" s="3" t="s">
        <v>17</v>
      </c>
      <c r="K1391" s="3">
        <v>76533</v>
      </c>
    </row>
    <row r="1392" spans="1:11">
      <c r="A1392" s="3" t="s">
        <v>2688</v>
      </c>
      <c r="B1392" s="3" t="s">
        <v>288</v>
      </c>
      <c r="C1392" s="3" t="s">
        <v>249</v>
      </c>
      <c r="D1392" s="3" t="s">
        <v>43</v>
      </c>
      <c r="E1392" s="3" t="s">
        <v>70</v>
      </c>
      <c r="F1392" s="3">
        <v>40</v>
      </c>
      <c r="G1392" s="3" t="s">
        <v>23</v>
      </c>
      <c r="H1392" s="3" t="s">
        <v>2278</v>
      </c>
      <c r="I1392" s="3"/>
      <c r="J1392" s="3" t="s">
        <v>17</v>
      </c>
      <c r="K1392" s="3">
        <v>50835</v>
      </c>
    </row>
    <row r="1393" spans="1:11">
      <c r="A1393" s="3" t="s">
        <v>2689</v>
      </c>
      <c r="B1393" s="3" t="s">
        <v>238</v>
      </c>
      <c r="C1393" s="3" t="s">
        <v>38</v>
      </c>
      <c r="D1393" s="3" t="s">
        <v>21</v>
      </c>
      <c r="E1393" s="3" t="s">
        <v>87</v>
      </c>
      <c r="F1393" s="3">
        <v>31</v>
      </c>
      <c r="G1393" s="3" t="s">
        <v>16</v>
      </c>
      <c r="H1393" s="3" t="s">
        <v>1938</v>
      </c>
      <c r="I1393" s="3"/>
      <c r="J1393" s="3" t="s">
        <v>17</v>
      </c>
      <c r="K1393" s="3">
        <v>72251</v>
      </c>
    </row>
    <row r="1394" spans="1:11">
      <c r="A1394" s="3" t="s">
        <v>2690</v>
      </c>
      <c r="B1394" s="3" t="s">
        <v>73</v>
      </c>
      <c r="C1394" s="3" t="s">
        <v>42</v>
      </c>
      <c r="D1394" s="3" t="s">
        <v>14</v>
      </c>
      <c r="E1394" s="3" t="s">
        <v>75</v>
      </c>
      <c r="F1394" s="3">
        <v>30</v>
      </c>
      <c r="G1394" s="3" t="s">
        <v>16</v>
      </c>
      <c r="H1394" s="3" t="s">
        <v>2691</v>
      </c>
      <c r="I1394" s="3"/>
      <c r="J1394" s="3" t="s">
        <v>17</v>
      </c>
      <c r="K1394" s="3">
        <v>21217</v>
      </c>
    </row>
    <row r="1395" spans="1:11">
      <c r="A1395" s="3" t="s">
        <v>2692</v>
      </c>
      <c r="B1395" s="3" t="s">
        <v>298</v>
      </c>
      <c r="C1395" s="3" t="s">
        <v>146</v>
      </c>
      <c r="D1395" s="3" t="s">
        <v>33</v>
      </c>
      <c r="E1395" s="3" t="s">
        <v>79</v>
      </c>
      <c r="F1395" s="3">
        <v>26</v>
      </c>
      <c r="G1395" s="3" t="s">
        <v>23</v>
      </c>
      <c r="H1395" s="3" t="s">
        <v>633</v>
      </c>
      <c r="I1395" s="3"/>
      <c r="J1395" s="3" t="s">
        <v>17</v>
      </c>
      <c r="K1395" s="3">
        <v>51813</v>
      </c>
    </row>
    <row r="1396" spans="1:11">
      <c r="A1396" s="3" t="s">
        <v>2693</v>
      </c>
      <c r="B1396" s="3" t="s">
        <v>226</v>
      </c>
      <c r="C1396" s="3" t="s">
        <v>103</v>
      </c>
      <c r="D1396" s="3" t="s">
        <v>33</v>
      </c>
      <c r="E1396" s="3" t="s">
        <v>79</v>
      </c>
      <c r="F1396" s="3">
        <v>26</v>
      </c>
      <c r="G1396" s="3" t="s">
        <v>16</v>
      </c>
      <c r="H1396" s="3" t="s">
        <v>2694</v>
      </c>
      <c r="I1396" s="3"/>
      <c r="J1396" s="3" t="s">
        <v>17</v>
      </c>
      <c r="K1396" s="3">
        <v>69639</v>
      </c>
    </row>
    <row r="1397" spans="1:11">
      <c r="A1397" s="3" t="s">
        <v>2695</v>
      </c>
      <c r="B1397" s="3" t="s">
        <v>93</v>
      </c>
      <c r="C1397" s="3" t="s">
        <v>135</v>
      </c>
      <c r="D1397" s="3" t="s">
        <v>27</v>
      </c>
      <c r="E1397" s="3" t="s">
        <v>54</v>
      </c>
      <c r="F1397" s="3">
        <v>29</v>
      </c>
      <c r="G1397" s="3" t="s">
        <v>23</v>
      </c>
      <c r="H1397" s="3" t="s">
        <v>2111</v>
      </c>
      <c r="I1397" s="3"/>
      <c r="J1397" s="3" t="s">
        <v>17</v>
      </c>
      <c r="K1397" s="3">
        <v>34583</v>
      </c>
    </row>
    <row r="1398" spans="1:11">
      <c r="A1398" s="3" t="s">
        <v>2696</v>
      </c>
      <c r="B1398" s="3" t="s">
        <v>401</v>
      </c>
      <c r="C1398" s="3" t="s">
        <v>174</v>
      </c>
      <c r="D1398" s="3" t="s">
        <v>33</v>
      </c>
      <c r="E1398" s="3" t="s">
        <v>34</v>
      </c>
      <c r="F1398" s="3">
        <v>26</v>
      </c>
      <c r="G1398" s="3" t="s">
        <v>23</v>
      </c>
      <c r="H1398" s="3" t="s">
        <v>2697</v>
      </c>
      <c r="I1398" s="3"/>
      <c r="J1398" s="3" t="s">
        <v>17</v>
      </c>
      <c r="K1398" s="3">
        <v>54322</v>
      </c>
    </row>
    <row r="1399" spans="1:11">
      <c r="A1399" s="3" t="s">
        <v>2698</v>
      </c>
      <c r="B1399" s="3" t="s">
        <v>128</v>
      </c>
      <c r="C1399" s="3" t="s">
        <v>129</v>
      </c>
      <c r="D1399" s="3" t="s">
        <v>33</v>
      </c>
      <c r="E1399" s="3" t="s">
        <v>34</v>
      </c>
      <c r="F1399" s="3">
        <v>21</v>
      </c>
      <c r="G1399" s="3" t="s">
        <v>23</v>
      </c>
      <c r="H1399" s="3" t="s">
        <v>2699</v>
      </c>
      <c r="I1399" s="3"/>
      <c r="J1399" s="3" t="s">
        <v>17</v>
      </c>
      <c r="K1399" s="3">
        <v>18000</v>
      </c>
    </row>
    <row r="1400" spans="1:11">
      <c r="A1400" s="3" t="s">
        <v>2700</v>
      </c>
      <c r="B1400" s="3" t="s">
        <v>25</v>
      </c>
      <c r="C1400" s="3" t="s">
        <v>103</v>
      </c>
      <c r="D1400" s="3" t="s">
        <v>27</v>
      </c>
      <c r="E1400" s="3" t="s">
        <v>28</v>
      </c>
      <c r="F1400" s="3">
        <v>23</v>
      </c>
      <c r="G1400" s="3" t="s">
        <v>23</v>
      </c>
      <c r="H1400" s="3" t="s">
        <v>2433</v>
      </c>
      <c r="I1400" s="3"/>
      <c r="J1400" s="3" t="s">
        <v>17</v>
      </c>
      <c r="K1400" s="3">
        <v>44994</v>
      </c>
    </row>
    <row r="1401" spans="1:11">
      <c r="A1401" s="3" t="s">
        <v>2701</v>
      </c>
      <c r="B1401" s="3" t="s">
        <v>82</v>
      </c>
      <c r="C1401" s="3" t="s">
        <v>135</v>
      </c>
      <c r="D1401" s="3" t="s">
        <v>64</v>
      </c>
      <c r="E1401" s="3" t="s">
        <v>65</v>
      </c>
      <c r="F1401" s="3">
        <v>45</v>
      </c>
      <c r="G1401" s="3" t="s">
        <v>16</v>
      </c>
      <c r="H1401" s="3" t="s">
        <v>2702</v>
      </c>
      <c r="I1401" s="3"/>
      <c r="J1401" s="3" t="s">
        <v>17</v>
      </c>
      <c r="K1401" s="3">
        <v>68431</v>
      </c>
    </row>
    <row r="1402" spans="1:11">
      <c r="A1402" s="3" t="s">
        <v>2703</v>
      </c>
      <c r="B1402" s="3" t="s">
        <v>109</v>
      </c>
      <c r="C1402" s="3" t="s">
        <v>20</v>
      </c>
      <c r="D1402" s="3" t="s">
        <v>27</v>
      </c>
      <c r="E1402" s="3" t="s">
        <v>122</v>
      </c>
      <c r="F1402" s="3">
        <v>24</v>
      </c>
      <c r="G1402" s="3" t="s">
        <v>23</v>
      </c>
      <c r="H1402" s="3" t="s">
        <v>1417</v>
      </c>
      <c r="I1402" s="3"/>
      <c r="J1402" s="3" t="s">
        <v>17</v>
      </c>
      <c r="K1402" s="3">
        <v>74904</v>
      </c>
    </row>
    <row r="1403" spans="1:11">
      <c r="A1403" s="3" t="s">
        <v>2704</v>
      </c>
      <c r="B1403" s="3" t="s">
        <v>186</v>
      </c>
      <c r="C1403" s="3" t="s">
        <v>53</v>
      </c>
      <c r="D1403" s="3" t="s">
        <v>43</v>
      </c>
      <c r="E1403" s="3" t="s">
        <v>70</v>
      </c>
      <c r="F1403">
        <v>32</v>
      </c>
      <c r="G1403" s="3" t="s">
        <v>23</v>
      </c>
      <c r="H1403" s="3" t="s">
        <v>2705</v>
      </c>
      <c r="I1403" s="3"/>
      <c r="J1403" s="3" t="s">
        <v>17</v>
      </c>
      <c r="K1403" s="3">
        <v>35319</v>
      </c>
    </row>
    <row r="1404" spans="1:11">
      <c r="A1404" s="3" t="s">
        <v>2706</v>
      </c>
      <c r="B1404" s="3" t="s">
        <v>86</v>
      </c>
      <c r="C1404" s="3" t="s">
        <v>135</v>
      </c>
      <c r="D1404" s="3" t="s">
        <v>435</v>
      </c>
      <c r="E1404" s="3" t="s">
        <v>79</v>
      </c>
      <c r="F1404" s="3">
        <v>40</v>
      </c>
      <c r="G1404" s="3" t="s">
        <v>16</v>
      </c>
      <c r="H1404" s="3" t="s">
        <v>1676</v>
      </c>
      <c r="I1404" s="3"/>
      <c r="J1404" s="3" t="s">
        <v>17</v>
      </c>
      <c r="K1404" s="3">
        <v>43449</v>
      </c>
    </row>
    <row r="1405" spans="1:11">
      <c r="A1405" s="3" t="s">
        <v>2707</v>
      </c>
      <c r="B1405" s="3" t="s">
        <v>86</v>
      </c>
      <c r="C1405" s="3" t="s">
        <v>20</v>
      </c>
      <c r="D1405" s="3" t="s">
        <v>27</v>
      </c>
      <c r="E1405" s="3" t="s">
        <v>28</v>
      </c>
      <c r="F1405" s="3">
        <v>23</v>
      </c>
      <c r="G1405" s="3" t="s">
        <v>23</v>
      </c>
      <c r="H1405" s="3" t="s">
        <v>2708</v>
      </c>
      <c r="I1405" s="3"/>
      <c r="J1405" s="3" t="s">
        <v>17</v>
      </c>
      <c r="K1405" s="3">
        <v>37077</v>
      </c>
    </row>
    <row r="1406" spans="1:11">
      <c r="A1406" s="3" t="s">
        <v>2709</v>
      </c>
      <c r="B1406" s="3" t="s">
        <v>298</v>
      </c>
      <c r="C1406" s="3" t="s">
        <v>53</v>
      </c>
      <c r="D1406" s="3" t="s">
        <v>21</v>
      </c>
      <c r="E1406" s="3" t="s">
        <v>95</v>
      </c>
      <c r="F1406" s="3">
        <v>23</v>
      </c>
      <c r="G1406" s="3" t="s">
        <v>23</v>
      </c>
      <c r="H1406" s="3" t="s">
        <v>2563</v>
      </c>
      <c r="I1406" s="3"/>
      <c r="J1406" s="3" t="s">
        <v>17</v>
      </c>
      <c r="K1406" s="3">
        <v>56335</v>
      </c>
    </row>
    <row r="1407" spans="1:11">
      <c r="A1407" s="3" t="s">
        <v>2710</v>
      </c>
      <c r="B1407" s="3" t="s">
        <v>468</v>
      </c>
      <c r="C1407" s="3" t="s">
        <v>249</v>
      </c>
      <c r="D1407" s="3" t="s">
        <v>27</v>
      </c>
      <c r="E1407" s="3" t="s">
        <v>28</v>
      </c>
      <c r="F1407" s="3">
        <v>35</v>
      </c>
      <c r="G1407" s="3" t="s">
        <v>23</v>
      </c>
      <c r="H1407" s="3" t="s">
        <v>2711</v>
      </c>
      <c r="I1407" s="3"/>
      <c r="J1407" s="3" t="s">
        <v>17</v>
      </c>
      <c r="K1407" s="3">
        <v>35894</v>
      </c>
    </row>
    <row r="1408" spans="1:11">
      <c r="A1408" s="3" t="s">
        <v>2712</v>
      </c>
      <c r="B1408" s="3" t="s">
        <v>226</v>
      </c>
      <c r="C1408" s="3" t="s">
        <v>174</v>
      </c>
      <c r="D1408" s="3" t="s">
        <v>14</v>
      </c>
      <c r="E1408" s="3" t="s">
        <v>75</v>
      </c>
      <c r="F1408" s="3">
        <v>25</v>
      </c>
      <c r="G1408" s="3" t="s">
        <v>16</v>
      </c>
      <c r="H1408" s="3" t="s">
        <v>2713</v>
      </c>
      <c r="I1408" s="3"/>
      <c r="J1408" s="3" t="s">
        <v>17</v>
      </c>
      <c r="K1408" s="3">
        <v>30301</v>
      </c>
    </row>
    <row r="1409" spans="1:11">
      <c r="A1409" s="3" t="s">
        <v>2714</v>
      </c>
      <c r="B1409" s="3" t="s">
        <v>401</v>
      </c>
      <c r="C1409" s="3" t="s">
        <v>135</v>
      </c>
      <c r="D1409" s="3" t="s">
        <v>43</v>
      </c>
      <c r="E1409" s="3" t="s">
        <v>70</v>
      </c>
      <c r="F1409" s="3">
        <v>27</v>
      </c>
      <c r="G1409" s="3" t="s">
        <v>16</v>
      </c>
      <c r="H1409" s="3" t="s">
        <v>2715</v>
      </c>
      <c r="I1409" s="3"/>
      <c r="J1409" s="3" t="s">
        <v>17</v>
      </c>
      <c r="K1409" s="3">
        <v>44591</v>
      </c>
    </row>
    <row r="1410" spans="1:11">
      <c r="A1410" s="3" t="s">
        <v>2716</v>
      </c>
      <c r="B1410" s="3" t="s">
        <v>41</v>
      </c>
      <c r="C1410" s="3" t="s">
        <v>63</v>
      </c>
      <c r="D1410" s="3" t="s">
        <v>21</v>
      </c>
      <c r="E1410" s="3" t="s">
        <v>155</v>
      </c>
      <c r="F1410" s="3">
        <v>21</v>
      </c>
      <c r="G1410" s="3" t="s">
        <v>23</v>
      </c>
      <c r="H1410" s="3" t="s">
        <v>2717</v>
      </c>
      <c r="I1410" s="3"/>
      <c r="J1410" s="3" t="s">
        <v>17</v>
      </c>
      <c r="K1410" s="3">
        <v>73619</v>
      </c>
    </row>
    <row r="1411" spans="1:11">
      <c r="A1411" s="3" t="s">
        <v>2718</v>
      </c>
      <c r="B1411" s="3" t="s">
        <v>41</v>
      </c>
      <c r="C1411" s="3" t="s">
        <v>113</v>
      </c>
      <c r="D1411" s="3" t="s">
        <v>27</v>
      </c>
      <c r="E1411" s="3" t="s">
        <v>122</v>
      </c>
      <c r="F1411" s="3">
        <v>29</v>
      </c>
      <c r="G1411" s="3" t="s">
        <v>23</v>
      </c>
      <c r="H1411" s="3" t="s">
        <v>2719</v>
      </c>
      <c r="I1411" s="3"/>
      <c r="J1411" s="3" t="s">
        <v>17</v>
      </c>
      <c r="K1411" s="3">
        <v>71140</v>
      </c>
    </row>
    <row r="1412" spans="1:11">
      <c r="A1412" s="3" t="s">
        <v>2720</v>
      </c>
      <c r="B1412" s="3" t="s">
        <v>68</v>
      </c>
      <c r="C1412" s="3" t="s">
        <v>146</v>
      </c>
      <c r="D1412" s="3" t="s">
        <v>33</v>
      </c>
      <c r="E1412" s="3" t="s">
        <v>34</v>
      </c>
      <c r="F1412" s="3">
        <v>21</v>
      </c>
      <c r="G1412" s="3" t="s">
        <v>16</v>
      </c>
      <c r="H1412" s="3" t="s">
        <v>2721</v>
      </c>
      <c r="I1412" s="3"/>
      <c r="J1412" s="3" t="s">
        <v>17</v>
      </c>
      <c r="K1412" s="3">
        <v>42717</v>
      </c>
    </row>
    <row r="1413" spans="1:11">
      <c r="A1413" s="3" t="s">
        <v>2722</v>
      </c>
      <c r="B1413" s="3" t="s">
        <v>12</v>
      </c>
      <c r="C1413" s="3" t="s">
        <v>74</v>
      </c>
      <c r="D1413" s="3" t="s">
        <v>21</v>
      </c>
      <c r="E1413" s="3" t="s">
        <v>95</v>
      </c>
      <c r="F1413" s="3">
        <v>29</v>
      </c>
      <c r="G1413" s="3" t="s">
        <v>23</v>
      </c>
      <c r="H1413" s="3" t="s">
        <v>2723</v>
      </c>
      <c r="I1413" s="3"/>
      <c r="J1413" s="3" t="s">
        <v>17</v>
      </c>
      <c r="K1413" s="3">
        <v>58199</v>
      </c>
    </row>
    <row r="1414" spans="1:11">
      <c r="A1414" s="3" t="s">
        <v>2724</v>
      </c>
      <c r="B1414" s="3" t="s">
        <v>68</v>
      </c>
      <c r="C1414" s="3" t="s">
        <v>69</v>
      </c>
      <c r="D1414" s="3" t="s">
        <v>43</v>
      </c>
      <c r="E1414" s="3" t="s">
        <v>48</v>
      </c>
      <c r="F1414" s="3">
        <v>33</v>
      </c>
      <c r="G1414" s="3" t="s">
        <v>16</v>
      </c>
      <c r="H1414" s="3" t="s">
        <v>2725</v>
      </c>
      <c r="I1414" s="3"/>
      <c r="J1414" s="3" t="s">
        <v>17</v>
      </c>
      <c r="K1414" s="3">
        <v>18000</v>
      </c>
    </row>
    <row r="1415" spans="1:11">
      <c r="A1415" s="3" t="s">
        <v>2726</v>
      </c>
      <c r="B1415" s="3" t="s">
        <v>90</v>
      </c>
      <c r="C1415" s="3" t="s">
        <v>94</v>
      </c>
      <c r="D1415" s="3" t="s">
        <v>118</v>
      </c>
      <c r="E1415" s="3" t="s">
        <v>70</v>
      </c>
      <c r="F1415" s="3">
        <v>32</v>
      </c>
      <c r="G1415" s="3" t="s">
        <v>23</v>
      </c>
      <c r="H1415" s="3" t="s">
        <v>2727</v>
      </c>
      <c r="I1415" s="3" t="s">
        <v>2728</v>
      </c>
      <c r="J1415" s="3" t="s">
        <v>51</v>
      </c>
      <c r="K1415" s="3">
        <v>27813</v>
      </c>
    </row>
    <row r="1416" spans="1:11">
      <c r="A1416" s="3" t="s">
        <v>2729</v>
      </c>
      <c r="B1416" s="3" t="s">
        <v>288</v>
      </c>
      <c r="C1416" s="3" t="s">
        <v>26</v>
      </c>
      <c r="D1416" s="3" t="s">
        <v>43</v>
      </c>
      <c r="E1416" s="3" t="s">
        <v>44</v>
      </c>
      <c r="F1416" s="3">
        <v>21</v>
      </c>
      <c r="G1416" s="3" t="s">
        <v>23</v>
      </c>
      <c r="H1416" s="3" t="s">
        <v>998</v>
      </c>
      <c r="I1416" s="3"/>
      <c r="J1416" s="3" t="s">
        <v>17</v>
      </c>
      <c r="K1416" s="3">
        <v>56430</v>
      </c>
    </row>
    <row r="1417" spans="1:11">
      <c r="A1417" s="3" t="s">
        <v>2730</v>
      </c>
      <c r="B1417" s="3" t="s">
        <v>226</v>
      </c>
      <c r="C1417" s="3" t="s">
        <v>53</v>
      </c>
      <c r="D1417" s="3" t="s">
        <v>21</v>
      </c>
      <c r="E1417" s="3" t="s">
        <v>95</v>
      </c>
      <c r="F1417" s="3">
        <v>37</v>
      </c>
      <c r="G1417" s="3" t="s">
        <v>16</v>
      </c>
      <c r="H1417" s="3" t="s">
        <v>2144</v>
      </c>
      <c r="I1417" s="3" t="s">
        <v>2294</v>
      </c>
      <c r="J1417" s="3" t="s">
        <v>51</v>
      </c>
      <c r="K1417" s="3">
        <v>22529</v>
      </c>
    </row>
    <row r="1418" spans="1:11">
      <c r="A1418" s="3" t="s">
        <v>2731</v>
      </c>
      <c r="B1418" s="3" t="s">
        <v>19</v>
      </c>
      <c r="C1418" s="3" t="s">
        <v>83</v>
      </c>
      <c r="D1418" s="3" t="s">
        <v>43</v>
      </c>
      <c r="E1418" s="3" t="s">
        <v>48</v>
      </c>
      <c r="F1418" s="3">
        <v>31</v>
      </c>
      <c r="G1418" s="3" t="s">
        <v>23</v>
      </c>
      <c r="H1418" s="3" t="s">
        <v>2732</v>
      </c>
      <c r="I1418" s="3"/>
      <c r="J1418" s="3" t="s">
        <v>17</v>
      </c>
      <c r="K1418" s="3">
        <v>53890</v>
      </c>
    </row>
    <row r="1419" spans="1:11">
      <c r="A1419" s="3" t="s">
        <v>2733</v>
      </c>
      <c r="B1419" s="3" t="s">
        <v>41</v>
      </c>
      <c r="C1419" s="3" t="s">
        <v>129</v>
      </c>
      <c r="D1419" s="3" t="s">
        <v>43</v>
      </c>
      <c r="E1419" s="3" t="s">
        <v>70</v>
      </c>
      <c r="F1419" s="3">
        <v>33</v>
      </c>
      <c r="G1419" s="3" t="s">
        <v>16</v>
      </c>
      <c r="H1419" s="3" t="s">
        <v>2734</v>
      </c>
      <c r="I1419" s="3"/>
      <c r="J1419" s="3" t="s">
        <v>17</v>
      </c>
      <c r="K1419" s="3">
        <v>48475</v>
      </c>
    </row>
    <row r="1420" spans="1:11">
      <c r="A1420" s="3" t="s">
        <v>2735</v>
      </c>
      <c r="B1420" s="3" t="s">
        <v>106</v>
      </c>
      <c r="C1420" s="3" t="s">
        <v>38</v>
      </c>
      <c r="D1420" s="3" t="s">
        <v>33</v>
      </c>
      <c r="E1420" s="3" t="s">
        <v>34</v>
      </c>
      <c r="F1420" s="3">
        <v>35</v>
      </c>
      <c r="G1420" s="3" t="s">
        <v>16</v>
      </c>
      <c r="H1420" s="3" t="s">
        <v>2736</v>
      </c>
      <c r="I1420" s="3"/>
      <c r="J1420" s="3" t="s">
        <v>17</v>
      </c>
      <c r="K1420" s="3">
        <v>47777</v>
      </c>
    </row>
    <row r="1421" spans="1:11">
      <c r="A1421" s="3" t="s">
        <v>2737</v>
      </c>
      <c r="B1421" s="3" t="s">
        <v>47</v>
      </c>
      <c r="C1421" s="3" t="s">
        <v>213</v>
      </c>
      <c r="D1421" s="3" t="s">
        <v>43</v>
      </c>
      <c r="E1421" s="3" t="s">
        <v>44</v>
      </c>
      <c r="F1421" s="3">
        <v>35</v>
      </c>
      <c r="G1421" s="3" t="s">
        <v>16</v>
      </c>
      <c r="H1421" s="3" t="s">
        <v>2738</v>
      </c>
      <c r="I1421" s="3"/>
      <c r="J1421" s="3" t="s">
        <v>17</v>
      </c>
      <c r="K1421" s="3">
        <v>64071</v>
      </c>
    </row>
    <row r="1422" spans="1:11">
      <c r="A1422" s="3" t="s">
        <v>2739</v>
      </c>
      <c r="B1422" s="3" t="s">
        <v>134</v>
      </c>
      <c r="C1422" s="3" t="s">
        <v>26</v>
      </c>
      <c r="D1422" s="3" t="s">
        <v>27</v>
      </c>
      <c r="E1422" s="3" t="s">
        <v>54</v>
      </c>
      <c r="F1422" s="3">
        <v>40</v>
      </c>
      <c r="G1422" s="3" t="s">
        <v>23</v>
      </c>
      <c r="H1422" s="3" t="s">
        <v>2740</v>
      </c>
      <c r="I1422" s="3" t="s">
        <v>50</v>
      </c>
      <c r="J1422" s="3" t="s">
        <v>51</v>
      </c>
      <c r="K1422" s="3">
        <v>68539</v>
      </c>
    </row>
    <row r="1423" spans="1:11">
      <c r="A1423" s="3" t="s">
        <v>2741</v>
      </c>
      <c r="B1423" s="3" t="s">
        <v>216</v>
      </c>
      <c r="C1423" s="3" t="s">
        <v>169</v>
      </c>
      <c r="D1423" s="3" t="s">
        <v>43</v>
      </c>
      <c r="E1423" s="3" t="s">
        <v>70</v>
      </c>
      <c r="F1423" s="3">
        <v>33</v>
      </c>
      <c r="G1423" s="3" t="s">
        <v>16</v>
      </c>
      <c r="H1423" s="3" t="s">
        <v>2742</v>
      </c>
      <c r="I1423" s="3"/>
      <c r="J1423" s="3" t="s">
        <v>17</v>
      </c>
      <c r="K1423" s="3">
        <v>84597</v>
      </c>
    </row>
    <row r="1424" spans="1:11">
      <c r="A1424" s="3" t="s">
        <v>2743</v>
      </c>
      <c r="B1424" s="3" t="s">
        <v>37</v>
      </c>
      <c r="C1424" s="3" t="s">
        <v>38</v>
      </c>
      <c r="D1424" s="3" t="s">
        <v>33</v>
      </c>
      <c r="E1424" s="3" t="s">
        <v>34</v>
      </c>
      <c r="F1424" s="3">
        <v>21</v>
      </c>
      <c r="G1424" s="3" t="s">
        <v>16</v>
      </c>
      <c r="H1424" s="3" t="s">
        <v>2744</v>
      </c>
      <c r="I1424" s="3" t="s">
        <v>1863</v>
      </c>
      <c r="J1424" s="3" t="s">
        <v>51</v>
      </c>
      <c r="K1424" s="3">
        <v>53385</v>
      </c>
    </row>
    <row r="1425" spans="1:11">
      <c r="A1425" s="3" t="s">
        <v>2745</v>
      </c>
      <c r="B1425" s="3" t="s">
        <v>238</v>
      </c>
      <c r="C1425" s="3" t="s">
        <v>26</v>
      </c>
      <c r="D1425" s="3" t="s">
        <v>21</v>
      </c>
      <c r="E1425" s="3" t="s">
        <v>87</v>
      </c>
      <c r="F1425" s="3">
        <v>23</v>
      </c>
      <c r="G1425" s="3" t="s">
        <v>16</v>
      </c>
      <c r="H1425" s="3" t="s">
        <v>1068</v>
      </c>
      <c r="I1425" s="3"/>
      <c r="J1425" s="3" t="s">
        <v>17</v>
      </c>
      <c r="K1425" s="3">
        <v>59185</v>
      </c>
    </row>
    <row r="1426" spans="1:11">
      <c r="A1426" s="3" t="s">
        <v>2746</v>
      </c>
      <c r="B1426" s="3" t="s">
        <v>216</v>
      </c>
      <c r="C1426" s="3" t="s">
        <v>94</v>
      </c>
      <c r="D1426" s="3" t="s">
        <v>43</v>
      </c>
      <c r="E1426" s="3" t="s">
        <v>70</v>
      </c>
      <c r="F1426" s="3">
        <v>35</v>
      </c>
      <c r="G1426" s="3" t="s">
        <v>16</v>
      </c>
      <c r="H1426" s="3" t="s">
        <v>2020</v>
      </c>
      <c r="I1426" s="3"/>
      <c r="J1426" s="3" t="s">
        <v>17</v>
      </c>
      <c r="K1426" s="3">
        <v>40584</v>
      </c>
    </row>
    <row r="1427" spans="1:11">
      <c r="A1427" s="3" t="s">
        <v>2747</v>
      </c>
      <c r="B1427" s="3" t="s">
        <v>216</v>
      </c>
      <c r="C1427" s="3" t="s">
        <v>94</v>
      </c>
      <c r="D1427" s="3" t="s">
        <v>21</v>
      </c>
      <c r="E1427" s="3" t="s">
        <v>95</v>
      </c>
      <c r="F1427" s="3">
        <v>35</v>
      </c>
      <c r="G1427" s="3" t="s">
        <v>23</v>
      </c>
      <c r="H1427" s="3" t="s">
        <v>1840</v>
      </c>
      <c r="I1427" s="3"/>
      <c r="J1427" s="3" t="s">
        <v>17</v>
      </c>
      <c r="K1427" s="3">
        <v>91659</v>
      </c>
    </row>
    <row r="1428" spans="1:11">
      <c r="A1428" s="3" t="s">
        <v>2748</v>
      </c>
      <c r="B1428" s="3" t="s">
        <v>288</v>
      </c>
      <c r="C1428" s="3" t="s">
        <v>20</v>
      </c>
      <c r="D1428" s="3" t="s">
        <v>64</v>
      </c>
      <c r="E1428" s="3" t="s">
        <v>65</v>
      </c>
      <c r="F1428" s="3">
        <v>39</v>
      </c>
      <c r="G1428" s="3" t="s">
        <v>23</v>
      </c>
      <c r="H1428" s="3" t="s">
        <v>2749</v>
      </c>
      <c r="I1428" s="3"/>
      <c r="J1428" s="3" t="s">
        <v>17</v>
      </c>
      <c r="K1428" s="3">
        <v>80431</v>
      </c>
    </row>
    <row r="1429" spans="1:11">
      <c r="A1429" s="3" t="s">
        <v>2750</v>
      </c>
      <c r="B1429" s="3" t="s">
        <v>145</v>
      </c>
      <c r="C1429" s="3" t="s">
        <v>94</v>
      </c>
      <c r="D1429" s="3" t="s">
        <v>43</v>
      </c>
      <c r="E1429" s="3" t="s">
        <v>44</v>
      </c>
      <c r="F1429" s="3">
        <v>21</v>
      </c>
      <c r="G1429" s="3" t="s">
        <v>23</v>
      </c>
      <c r="H1429" s="3" t="s">
        <v>2751</v>
      </c>
      <c r="I1429" s="3"/>
      <c r="J1429" s="3" t="s">
        <v>17</v>
      </c>
      <c r="K1429" s="3">
        <v>76090</v>
      </c>
    </row>
    <row r="1430" spans="1:11">
      <c r="A1430" s="3" t="s">
        <v>2752</v>
      </c>
      <c r="B1430" s="3" t="s">
        <v>160</v>
      </c>
      <c r="C1430" s="3" t="s">
        <v>63</v>
      </c>
      <c r="D1430" s="3" t="s">
        <v>27</v>
      </c>
      <c r="E1430" s="3" t="s">
        <v>122</v>
      </c>
      <c r="F1430" s="3">
        <v>21</v>
      </c>
      <c r="G1430" s="3" t="s">
        <v>23</v>
      </c>
      <c r="H1430" s="3" t="s">
        <v>2753</v>
      </c>
      <c r="I1430" s="3"/>
      <c r="J1430" s="3" t="s">
        <v>17</v>
      </c>
      <c r="K1430" s="3">
        <v>51622</v>
      </c>
    </row>
    <row r="1431" spans="1:11">
      <c r="A1431" s="3" t="s">
        <v>2754</v>
      </c>
      <c r="B1431" s="3" t="s">
        <v>102</v>
      </c>
      <c r="C1431" s="3" t="s">
        <v>213</v>
      </c>
      <c r="D1431" s="3" t="s">
        <v>99</v>
      </c>
      <c r="E1431" s="3" t="s">
        <v>34</v>
      </c>
      <c r="F1431" s="3">
        <v>37</v>
      </c>
      <c r="G1431" s="3" t="s">
        <v>23</v>
      </c>
      <c r="H1431" s="3" t="s">
        <v>2755</v>
      </c>
      <c r="I1431" s="3"/>
      <c r="J1431" s="3" t="s">
        <v>17</v>
      </c>
      <c r="K1431" s="3">
        <v>63518</v>
      </c>
    </row>
    <row r="1432" spans="1:11">
      <c r="A1432" s="3" t="s">
        <v>2756</v>
      </c>
      <c r="B1432" s="3" t="s">
        <v>78</v>
      </c>
      <c r="C1432" s="3" t="s">
        <v>169</v>
      </c>
      <c r="D1432" s="3" t="s">
        <v>187</v>
      </c>
      <c r="E1432" s="3" t="s">
        <v>22</v>
      </c>
      <c r="F1432" s="3">
        <v>35</v>
      </c>
      <c r="G1432" s="3" t="s">
        <v>16</v>
      </c>
      <c r="H1432" s="3" t="s">
        <v>2757</v>
      </c>
      <c r="I1432" s="3"/>
      <c r="J1432" s="3" t="s">
        <v>17</v>
      </c>
      <c r="K1432" s="3">
        <v>91478</v>
      </c>
    </row>
    <row r="1433" spans="1:11">
      <c r="A1433" s="3" t="s">
        <v>2758</v>
      </c>
      <c r="B1433" s="3" t="s">
        <v>288</v>
      </c>
      <c r="C1433" s="3" t="s">
        <v>94</v>
      </c>
      <c r="D1433" s="3" t="s">
        <v>64</v>
      </c>
      <c r="E1433" s="3" t="s">
        <v>266</v>
      </c>
      <c r="F1433" s="3">
        <v>25</v>
      </c>
      <c r="G1433" s="3" t="s">
        <v>16</v>
      </c>
      <c r="H1433" s="3" t="s">
        <v>1256</v>
      </c>
      <c r="I1433" s="3"/>
      <c r="J1433" s="3" t="s">
        <v>17</v>
      </c>
      <c r="K1433" s="3">
        <v>53484</v>
      </c>
    </row>
    <row r="1434" spans="1:11">
      <c r="A1434" s="3" t="s">
        <v>2759</v>
      </c>
      <c r="B1434" s="3" t="s">
        <v>93</v>
      </c>
      <c r="C1434" s="3" t="s">
        <v>146</v>
      </c>
      <c r="D1434" s="3" t="s">
        <v>43</v>
      </c>
      <c r="E1434" s="3" t="s">
        <v>70</v>
      </c>
      <c r="F1434" s="3">
        <v>38</v>
      </c>
      <c r="G1434" s="3" t="s">
        <v>16</v>
      </c>
      <c r="H1434" s="3" t="s">
        <v>2336</v>
      </c>
      <c r="I1434" s="3"/>
      <c r="J1434" s="3" t="s">
        <v>17</v>
      </c>
      <c r="K1434" s="3">
        <v>47615</v>
      </c>
    </row>
    <row r="1435" spans="1:11">
      <c r="A1435" s="3" t="s">
        <v>2760</v>
      </c>
      <c r="B1435" s="3" t="s">
        <v>401</v>
      </c>
      <c r="C1435" s="3" t="s">
        <v>205</v>
      </c>
      <c r="D1435" s="3" t="s">
        <v>43</v>
      </c>
      <c r="E1435" s="3" t="s">
        <v>70</v>
      </c>
      <c r="F1435" s="3">
        <v>37</v>
      </c>
      <c r="G1435" s="3" t="s">
        <v>16</v>
      </c>
      <c r="H1435" s="3" t="s">
        <v>2249</v>
      </c>
      <c r="I1435" s="3"/>
      <c r="J1435" s="3" t="s">
        <v>17</v>
      </c>
      <c r="K1435" s="3">
        <v>75944</v>
      </c>
    </row>
    <row r="1436" spans="1:11">
      <c r="A1436" s="3" t="s">
        <v>2761</v>
      </c>
      <c r="B1436" s="3" t="s">
        <v>186</v>
      </c>
      <c r="C1436" s="3" t="s">
        <v>169</v>
      </c>
      <c r="D1436" s="3" t="s">
        <v>64</v>
      </c>
      <c r="E1436" s="3" t="s">
        <v>161</v>
      </c>
      <c r="F1436" s="3">
        <v>23</v>
      </c>
      <c r="G1436" s="3" t="s">
        <v>16</v>
      </c>
      <c r="H1436" s="3" t="s">
        <v>2762</v>
      </c>
      <c r="I1436" s="3"/>
      <c r="J1436" s="3" t="s">
        <v>17</v>
      </c>
      <c r="K1436" s="3">
        <v>111027</v>
      </c>
    </row>
    <row r="1437" spans="1:11">
      <c r="A1437" s="3" t="s">
        <v>2763</v>
      </c>
      <c r="B1437" s="3" t="s">
        <v>19</v>
      </c>
      <c r="C1437" s="3" t="s">
        <v>129</v>
      </c>
      <c r="D1437" s="3" t="s">
        <v>21</v>
      </c>
      <c r="E1437" s="3" t="s">
        <v>95</v>
      </c>
      <c r="F1437" s="3">
        <v>31</v>
      </c>
      <c r="G1437" s="3" t="s">
        <v>16</v>
      </c>
      <c r="H1437" s="3" t="s">
        <v>1971</v>
      </c>
      <c r="I1437" s="3"/>
      <c r="J1437" s="3" t="s">
        <v>17</v>
      </c>
      <c r="K1437" s="3">
        <v>23583</v>
      </c>
    </row>
    <row r="1438" spans="1:11">
      <c r="A1438" s="3" t="s">
        <v>2764</v>
      </c>
      <c r="B1438" s="3" t="s">
        <v>47</v>
      </c>
      <c r="C1438" s="3" t="s">
        <v>174</v>
      </c>
      <c r="D1438" s="3" t="s">
        <v>33</v>
      </c>
      <c r="E1438" s="3" t="s">
        <v>79</v>
      </c>
      <c r="F1438" s="3">
        <v>40</v>
      </c>
      <c r="G1438" s="3" t="s">
        <v>23</v>
      </c>
      <c r="H1438" s="3" t="s">
        <v>2765</v>
      </c>
      <c r="I1438" s="3"/>
      <c r="J1438" s="3" t="s">
        <v>17</v>
      </c>
      <c r="K1438" s="3">
        <v>54641</v>
      </c>
    </row>
    <row r="1439" spans="1:11">
      <c r="A1439" s="3" t="s">
        <v>2766</v>
      </c>
      <c r="B1439" s="3" t="s">
        <v>19</v>
      </c>
      <c r="C1439" s="3" t="s">
        <v>53</v>
      </c>
      <c r="D1439" s="3" t="s">
        <v>33</v>
      </c>
      <c r="E1439" s="3" t="s">
        <v>34</v>
      </c>
      <c r="F1439" s="3">
        <v>25</v>
      </c>
      <c r="G1439" s="3" t="s">
        <v>23</v>
      </c>
      <c r="H1439" s="3" t="s">
        <v>2767</v>
      </c>
      <c r="I1439" s="3"/>
      <c r="J1439" s="3" t="s">
        <v>17</v>
      </c>
      <c r="K1439" s="3">
        <v>54583</v>
      </c>
    </row>
    <row r="1440" spans="1:11">
      <c r="A1440" s="3" t="s">
        <v>2768</v>
      </c>
      <c r="B1440" s="3" t="s">
        <v>216</v>
      </c>
      <c r="C1440" s="3" t="s">
        <v>26</v>
      </c>
      <c r="D1440" s="3" t="s">
        <v>43</v>
      </c>
      <c r="E1440" s="3" t="s">
        <v>70</v>
      </c>
      <c r="F1440" s="3">
        <v>35</v>
      </c>
      <c r="G1440" s="3" t="s">
        <v>16</v>
      </c>
      <c r="H1440" s="3" t="s">
        <v>1164</v>
      </c>
      <c r="I1440" s="3"/>
      <c r="J1440" s="3" t="s">
        <v>17</v>
      </c>
      <c r="K1440" s="3">
        <v>73333</v>
      </c>
    </row>
    <row r="1441" spans="1:11">
      <c r="A1441" s="3" t="s">
        <v>2769</v>
      </c>
      <c r="B1441" s="3" t="s">
        <v>82</v>
      </c>
      <c r="C1441" s="3" t="s">
        <v>42</v>
      </c>
      <c r="D1441" s="3" t="s">
        <v>27</v>
      </c>
      <c r="E1441" s="3" t="s">
        <v>28</v>
      </c>
      <c r="F1441" s="3">
        <v>29</v>
      </c>
      <c r="G1441" s="3" t="s">
        <v>16</v>
      </c>
      <c r="H1441" s="3" t="s">
        <v>1026</v>
      </c>
      <c r="I1441" s="3"/>
      <c r="J1441" s="3" t="s">
        <v>17</v>
      </c>
      <c r="K1441" s="3">
        <v>20888</v>
      </c>
    </row>
    <row r="1442" spans="1:11">
      <c r="A1442" s="3" t="s">
        <v>2770</v>
      </c>
      <c r="B1442" s="3" t="s">
        <v>288</v>
      </c>
      <c r="C1442" s="3" t="s">
        <v>83</v>
      </c>
      <c r="D1442" s="3" t="s">
        <v>33</v>
      </c>
      <c r="E1442" s="3" t="s">
        <v>34</v>
      </c>
      <c r="F1442" s="3">
        <v>41</v>
      </c>
      <c r="G1442" s="3" t="s">
        <v>23</v>
      </c>
      <c r="H1442" s="3" t="s">
        <v>1928</v>
      </c>
      <c r="I1442" s="3"/>
      <c r="J1442" s="3" t="s">
        <v>17</v>
      </c>
      <c r="K1442" s="3">
        <v>50887</v>
      </c>
    </row>
    <row r="1443" spans="1:11">
      <c r="A1443" s="3" t="s">
        <v>2771</v>
      </c>
      <c r="B1443" s="3" t="s">
        <v>141</v>
      </c>
      <c r="C1443" s="3" t="s">
        <v>249</v>
      </c>
      <c r="D1443" s="3" t="s">
        <v>43</v>
      </c>
      <c r="E1443" s="3" t="s">
        <v>44</v>
      </c>
      <c r="F1443" s="3">
        <v>21</v>
      </c>
      <c r="G1443" s="3" t="s">
        <v>23</v>
      </c>
      <c r="H1443" s="3" t="s">
        <v>2772</v>
      </c>
      <c r="I1443" s="3"/>
      <c r="J1443" s="3" t="s">
        <v>17</v>
      </c>
      <c r="K1443" s="3">
        <v>60386</v>
      </c>
    </row>
    <row r="1444" spans="1:11">
      <c r="A1444" s="3" t="s">
        <v>2773</v>
      </c>
      <c r="B1444" s="3" t="s">
        <v>31</v>
      </c>
      <c r="C1444" s="3" t="s">
        <v>177</v>
      </c>
      <c r="D1444" s="3" t="s">
        <v>33</v>
      </c>
      <c r="E1444" s="3" t="s">
        <v>34</v>
      </c>
      <c r="F1444" s="3">
        <v>27</v>
      </c>
      <c r="G1444" s="3" t="s">
        <v>16</v>
      </c>
      <c r="H1444" s="3" t="s">
        <v>2584</v>
      </c>
      <c r="I1444" s="3"/>
      <c r="J1444" s="3" t="s">
        <v>17</v>
      </c>
      <c r="K1444" s="3">
        <v>89815</v>
      </c>
    </row>
    <row r="1445" spans="1:11">
      <c r="A1445" s="3" t="s">
        <v>2774</v>
      </c>
      <c r="B1445" s="3" t="s">
        <v>109</v>
      </c>
      <c r="C1445" s="3" t="s">
        <v>59</v>
      </c>
      <c r="D1445" s="3" t="s">
        <v>43</v>
      </c>
      <c r="E1445" s="3" t="s">
        <v>48</v>
      </c>
      <c r="F1445" s="3">
        <v>33</v>
      </c>
      <c r="G1445" s="3" t="s">
        <v>16</v>
      </c>
      <c r="H1445" s="3" t="s">
        <v>2775</v>
      </c>
      <c r="I1445" s="3"/>
      <c r="J1445" s="3" t="s">
        <v>17</v>
      </c>
      <c r="K1445" s="3">
        <v>55862</v>
      </c>
    </row>
    <row r="1446" spans="1:11">
      <c r="A1446" s="3" t="s">
        <v>2776</v>
      </c>
      <c r="B1446" s="3" t="s">
        <v>93</v>
      </c>
      <c r="C1446" s="3" t="s">
        <v>164</v>
      </c>
      <c r="D1446" s="3" t="s">
        <v>64</v>
      </c>
      <c r="E1446" s="3" t="s">
        <v>161</v>
      </c>
      <c r="F1446" s="3">
        <v>27</v>
      </c>
      <c r="G1446" s="3" t="s">
        <v>16</v>
      </c>
      <c r="H1446" s="3" t="s">
        <v>390</v>
      </c>
      <c r="I1446" s="3"/>
      <c r="J1446" s="3" t="s">
        <v>17</v>
      </c>
      <c r="K1446" s="3">
        <v>71697</v>
      </c>
    </row>
    <row r="1447" spans="1:11">
      <c r="A1447" s="3" t="s">
        <v>2777</v>
      </c>
      <c r="B1447" s="3" t="s">
        <v>223</v>
      </c>
      <c r="C1447" s="3" t="s">
        <v>113</v>
      </c>
      <c r="D1447" s="3" t="s">
        <v>43</v>
      </c>
      <c r="E1447" s="3" t="s">
        <v>44</v>
      </c>
      <c r="F1447" s="3">
        <v>23</v>
      </c>
      <c r="G1447" s="3" t="s">
        <v>16</v>
      </c>
      <c r="H1447" s="3" t="s">
        <v>2778</v>
      </c>
      <c r="I1447" s="3"/>
      <c r="J1447" s="3" t="s">
        <v>17</v>
      </c>
      <c r="K1447" s="3">
        <v>47652</v>
      </c>
    </row>
    <row r="1448" spans="1:11">
      <c r="A1448" s="3" t="s">
        <v>2779</v>
      </c>
      <c r="B1448" s="3" t="s">
        <v>25</v>
      </c>
      <c r="C1448" s="3" t="s">
        <v>83</v>
      </c>
      <c r="D1448" s="3" t="s">
        <v>27</v>
      </c>
      <c r="E1448" s="3" t="s">
        <v>54</v>
      </c>
      <c r="F1448" s="3">
        <v>29</v>
      </c>
      <c r="G1448" s="3" t="s">
        <v>23</v>
      </c>
      <c r="H1448" s="3" t="s">
        <v>2715</v>
      </c>
      <c r="I1448" s="3"/>
      <c r="J1448" s="3" t="s">
        <v>17</v>
      </c>
      <c r="K1448" s="3">
        <v>59383</v>
      </c>
    </row>
    <row r="1449" spans="1:11">
      <c r="A1449" s="3" t="s">
        <v>2780</v>
      </c>
      <c r="B1449" s="3" t="s">
        <v>78</v>
      </c>
      <c r="C1449" s="3" t="s">
        <v>13</v>
      </c>
      <c r="D1449" s="3" t="s">
        <v>64</v>
      </c>
      <c r="E1449" s="3" t="s">
        <v>266</v>
      </c>
      <c r="F1449" s="3">
        <v>25</v>
      </c>
      <c r="G1449" s="3" t="s">
        <v>23</v>
      </c>
      <c r="H1449" s="3" t="s">
        <v>2781</v>
      </c>
      <c r="I1449" s="3"/>
      <c r="J1449" s="3" t="s">
        <v>17</v>
      </c>
      <c r="K1449" s="3">
        <v>60157</v>
      </c>
    </row>
    <row r="1450" spans="1:11">
      <c r="A1450" s="3" t="s">
        <v>2782</v>
      </c>
      <c r="B1450" s="3" t="s">
        <v>125</v>
      </c>
      <c r="C1450" s="3" t="s">
        <v>74</v>
      </c>
      <c r="D1450" s="3" t="s">
        <v>21</v>
      </c>
      <c r="E1450" s="3" t="s">
        <v>155</v>
      </c>
      <c r="F1450" s="3">
        <v>35</v>
      </c>
      <c r="G1450" s="3" t="s">
        <v>16</v>
      </c>
      <c r="H1450" s="3" t="s">
        <v>2552</v>
      </c>
      <c r="I1450" s="3"/>
      <c r="J1450" s="3" t="s">
        <v>17</v>
      </c>
      <c r="K1450" s="3">
        <v>69317</v>
      </c>
    </row>
    <row r="1451" spans="1:11">
      <c r="A1451" s="3" t="s">
        <v>2783</v>
      </c>
      <c r="B1451" s="3" t="s">
        <v>90</v>
      </c>
      <c r="C1451" s="3" t="s">
        <v>59</v>
      </c>
      <c r="D1451" s="3" t="s">
        <v>33</v>
      </c>
      <c r="E1451" s="3" t="s">
        <v>79</v>
      </c>
      <c r="F1451" s="3">
        <v>29</v>
      </c>
      <c r="G1451" s="3" t="s">
        <v>23</v>
      </c>
      <c r="H1451" s="3" t="s">
        <v>2784</v>
      </c>
      <c r="I1451" s="3"/>
      <c r="J1451" s="3" t="s">
        <v>17</v>
      </c>
      <c r="K1451" s="3">
        <v>75730</v>
      </c>
    </row>
    <row r="1452" spans="1:11">
      <c r="A1452" s="3" t="s">
        <v>2785</v>
      </c>
      <c r="B1452" s="3" t="s">
        <v>226</v>
      </c>
      <c r="C1452" s="3" t="s">
        <v>164</v>
      </c>
      <c r="D1452" s="3" t="s">
        <v>43</v>
      </c>
      <c r="E1452" s="3" t="s">
        <v>70</v>
      </c>
      <c r="F1452" s="3">
        <v>26</v>
      </c>
      <c r="G1452" s="3" t="s">
        <v>16</v>
      </c>
      <c r="H1452" s="3" t="s">
        <v>2786</v>
      </c>
      <c r="I1452" s="3"/>
      <c r="J1452" s="3" t="s">
        <v>17</v>
      </c>
      <c r="K1452" s="3">
        <v>57258</v>
      </c>
    </row>
    <row r="1453" spans="1:11">
      <c r="A1453" s="3" t="s">
        <v>2787</v>
      </c>
      <c r="B1453" s="3" t="s">
        <v>58</v>
      </c>
      <c r="C1453" s="3" t="s">
        <v>26</v>
      </c>
      <c r="D1453" s="3" t="s">
        <v>27</v>
      </c>
      <c r="E1453" s="3" t="s">
        <v>54</v>
      </c>
      <c r="F1453" s="3">
        <v>27</v>
      </c>
      <c r="G1453" s="3" t="s">
        <v>23</v>
      </c>
      <c r="H1453" s="3" t="s">
        <v>1310</v>
      </c>
      <c r="I1453" s="3"/>
      <c r="J1453" s="3" t="s">
        <v>17</v>
      </c>
      <c r="K1453" s="3">
        <v>78552</v>
      </c>
    </row>
    <row r="1454" spans="1:11">
      <c r="A1454" s="3" t="s">
        <v>2788</v>
      </c>
      <c r="B1454" s="3" t="s">
        <v>102</v>
      </c>
      <c r="C1454" s="3" t="s">
        <v>103</v>
      </c>
      <c r="D1454" s="3" t="s">
        <v>43</v>
      </c>
      <c r="E1454" s="3" t="s">
        <v>70</v>
      </c>
      <c r="F1454" s="3">
        <v>34</v>
      </c>
      <c r="G1454" s="3" t="s">
        <v>16</v>
      </c>
      <c r="H1454" s="3" t="s">
        <v>2789</v>
      </c>
      <c r="I1454" s="3"/>
      <c r="J1454" s="3" t="s">
        <v>17</v>
      </c>
      <c r="K1454" s="3">
        <v>44587</v>
      </c>
    </row>
    <row r="1455" spans="1:11">
      <c r="A1455" s="3" t="s">
        <v>2790</v>
      </c>
      <c r="B1455" s="3" t="s">
        <v>106</v>
      </c>
      <c r="C1455" s="3" t="s">
        <v>177</v>
      </c>
      <c r="D1455" s="3" t="s">
        <v>21</v>
      </c>
      <c r="E1455" s="3" t="s">
        <v>87</v>
      </c>
      <c r="F1455" s="3">
        <v>23</v>
      </c>
      <c r="G1455" s="3" t="s">
        <v>16</v>
      </c>
      <c r="H1455" s="4">
        <v>44962</v>
      </c>
      <c r="I1455" s="3"/>
      <c r="J1455" s="3" t="s">
        <v>17</v>
      </c>
      <c r="K1455" s="3">
        <v>74454</v>
      </c>
    </row>
    <row r="1456" spans="1:11">
      <c r="A1456" s="3" t="s">
        <v>2791</v>
      </c>
      <c r="B1456" s="3" t="s">
        <v>145</v>
      </c>
      <c r="C1456" s="3" t="s">
        <v>146</v>
      </c>
      <c r="D1456" s="3" t="s">
        <v>187</v>
      </c>
      <c r="E1456" s="3" t="s">
        <v>155</v>
      </c>
      <c r="F1456">
        <v>32</v>
      </c>
      <c r="G1456" s="3" t="s">
        <v>16</v>
      </c>
      <c r="H1456" s="3" t="s">
        <v>2792</v>
      </c>
      <c r="I1456" s="3" t="s">
        <v>1621</v>
      </c>
      <c r="J1456" s="3" t="s">
        <v>51</v>
      </c>
      <c r="K1456" s="3">
        <v>63523</v>
      </c>
    </row>
    <row r="1457" spans="1:11">
      <c r="A1457" s="3" t="s">
        <v>2793</v>
      </c>
      <c r="B1457" s="3" t="s">
        <v>37</v>
      </c>
      <c r="C1457" s="3" t="s">
        <v>69</v>
      </c>
      <c r="D1457" s="3" t="s">
        <v>21</v>
      </c>
      <c r="E1457" s="3" t="s">
        <v>155</v>
      </c>
      <c r="F1457" s="3">
        <v>21</v>
      </c>
      <c r="G1457" s="3" t="s">
        <v>16</v>
      </c>
      <c r="H1457" s="3" t="s">
        <v>2794</v>
      </c>
      <c r="I1457" s="3"/>
      <c r="J1457" s="3" t="s">
        <v>17</v>
      </c>
      <c r="K1457" s="3">
        <v>67221</v>
      </c>
    </row>
    <row r="1458" spans="1:11">
      <c r="A1458" s="3" t="s">
        <v>2795</v>
      </c>
      <c r="B1458" s="3" t="s">
        <v>145</v>
      </c>
      <c r="C1458" s="3" t="s">
        <v>169</v>
      </c>
      <c r="D1458" s="3" t="s">
        <v>14</v>
      </c>
      <c r="E1458" s="3" t="s">
        <v>75</v>
      </c>
      <c r="F1458" s="3">
        <v>38</v>
      </c>
      <c r="G1458" s="3" t="s">
        <v>16</v>
      </c>
      <c r="H1458" s="3" t="s">
        <v>1035</v>
      </c>
      <c r="I1458" s="3"/>
      <c r="J1458" s="3" t="s">
        <v>17</v>
      </c>
      <c r="K1458" s="3">
        <v>64014</v>
      </c>
    </row>
    <row r="1459" spans="1:11">
      <c r="A1459" s="3" t="s">
        <v>2796</v>
      </c>
      <c r="B1459" s="3" t="s">
        <v>252</v>
      </c>
      <c r="C1459" s="3" t="s">
        <v>69</v>
      </c>
      <c r="D1459" s="3" t="s">
        <v>14</v>
      </c>
      <c r="E1459" s="3" t="s">
        <v>75</v>
      </c>
      <c r="F1459" s="3">
        <v>30</v>
      </c>
      <c r="G1459" s="3" t="s">
        <v>23</v>
      </c>
      <c r="H1459" s="3" t="s">
        <v>1896</v>
      </c>
      <c r="I1459" s="3"/>
      <c r="J1459" s="3" t="s">
        <v>17</v>
      </c>
      <c r="K1459" s="3">
        <v>75975</v>
      </c>
    </row>
    <row r="1460" spans="1:11">
      <c r="A1460" s="3" t="s">
        <v>2797</v>
      </c>
      <c r="B1460" s="3" t="s">
        <v>128</v>
      </c>
      <c r="C1460" s="3" t="s">
        <v>53</v>
      </c>
      <c r="D1460" s="3" t="s">
        <v>33</v>
      </c>
      <c r="E1460" s="3" t="s">
        <v>34</v>
      </c>
      <c r="F1460" s="3">
        <v>37</v>
      </c>
      <c r="G1460" s="3" t="s">
        <v>16</v>
      </c>
      <c r="H1460" s="3" t="s">
        <v>2172</v>
      </c>
      <c r="I1460" s="3"/>
      <c r="J1460" s="3" t="s">
        <v>17</v>
      </c>
      <c r="K1460" s="3">
        <v>37364</v>
      </c>
    </row>
    <row r="1461" spans="1:11">
      <c r="A1461" s="3" t="s">
        <v>2798</v>
      </c>
      <c r="B1461" s="3" t="s">
        <v>252</v>
      </c>
      <c r="C1461" s="3" t="s">
        <v>26</v>
      </c>
      <c r="D1461" s="3" t="s">
        <v>187</v>
      </c>
      <c r="E1461" s="3" t="s">
        <v>87</v>
      </c>
      <c r="F1461" s="3">
        <v>42</v>
      </c>
      <c r="G1461" s="3" t="s">
        <v>16</v>
      </c>
      <c r="H1461" s="3" t="s">
        <v>2799</v>
      </c>
      <c r="I1461" s="3"/>
      <c r="J1461" s="3" t="s">
        <v>17</v>
      </c>
      <c r="K1461" s="3">
        <v>42800</v>
      </c>
    </row>
    <row r="1462" spans="1:11">
      <c r="A1462" s="3" t="s">
        <v>2800</v>
      </c>
      <c r="B1462" s="3" t="s">
        <v>401</v>
      </c>
      <c r="C1462" s="3" t="s">
        <v>20</v>
      </c>
      <c r="D1462" s="3" t="s">
        <v>21</v>
      </c>
      <c r="E1462" s="3" t="s">
        <v>95</v>
      </c>
      <c r="F1462" s="3">
        <v>33</v>
      </c>
      <c r="G1462" s="3" t="s">
        <v>16</v>
      </c>
      <c r="H1462" s="3" t="s">
        <v>1905</v>
      </c>
      <c r="I1462" s="3"/>
      <c r="J1462" s="3" t="s">
        <v>17</v>
      </c>
      <c r="K1462" s="3">
        <v>70559</v>
      </c>
    </row>
    <row r="1463" spans="1:11">
      <c r="A1463" s="3" t="s">
        <v>2801</v>
      </c>
      <c r="B1463" s="3" t="s">
        <v>25</v>
      </c>
      <c r="C1463" s="3" t="s">
        <v>94</v>
      </c>
      <c r="D1463" s="3" t="s">
        <v>43</v>
      </c>
      <c r="E1463" s="3" t="s">
        <v>70</v>
      </c>
      <c r="F1463" s="3">
        <v>32</v>
      </c>
      <c r="G1463" s="3" t="s">
        <v>16</v>
      </c>
      <c r="H1463" s="3" t="s">
        <v>2802</v>
      </c>
      <c r="I1463" s="3"/>
      <c r="J1463" s="3" t="s">
        <v>17</v>
      </c>
      <c r="K1463" s="3">
        <v>22960</v>
      </c>
    </row>
    <row r="1464" spans="1:11">
      <c r="A1464" s="3" t="s">
        <v>2803</v>
      </c>
      <c r="B1464" s="3" t="s">
        <v>73</v>
      </c>
      <c r="C1464" s="3" t="s">
        <v>103</v>
      </c>
      <c r="D1464" s="3" t="s">
        <v>27</v>
      </c>
      <c r="E1464" s="3" t="s">
        <v>122</v>
      </c>
      <c r="F1464" s="3">
        <v>39</v>
      </c>
      <c r="G1464" s="3" t="s">
        <v>23</v>
      </c>
      <c r="H1464" s="3" t="s">
        <v>2804</v>
      </c>
      <c r="I1464" s="3"/>
      <c r="J1464" s="3" t="s">
        <v>17</v>
      </c>
      <c r="K1464" s="3">
        <v>64015</v>
      </c>
    </row>
    <row r="1465" spans="1:11">
      <c r="A1465" s="3" t="s">
        <v>2805</v>
      </c>
      <c r="B1465" s="3" t="s">
        <v>78</v>
      </c>
      <c r="C1465" s="3" t="s">
        <v>135</v>
      </c>
      <c r="D1465" s="3" t="s">
        <v>14</v>
      </c>
      <c r="E1465" s="3" t="s">
        <v>15</v>
      </c>
      <c r="F1465" s="3">
        <v>26</v>
      </c>
      <c r="G1465" s="3" t="s">
        <v>16</v>
      </c>
      <c r="H1465" s="3" t="s">
        <v>799</v>
      </c>
      <c r="I1465" s="3"/>
      <c r="J1465" s="3" t="s">
        <v>17</v>
      </c>
      <c r="K1465" s="3">
        <v>71450</v>
      </c>
    </row>
    <row r="1466" spans="1:11">
      <c r="A1466" s="3" t="s">
        <v>2806</v>
      </c>
      <c r="B1466" s="3" t="s">
        <v>82</v>
      </c>
      <c r="C1466" s="3" t="s">
        <v>146</v>
      </c>
      <c r="D1466" s="3" t="s">
        <v>21</v>
      </c>
      <c r="E1466" s="3" t="s">
        <v>95</v>
      </c>
      <c r="F1466" s="3">
        <v>41</v>
      </c>
      <c r="G1466" s="3" t="s">
        <v>16</v>
      </c>
      <c r="H1466" s="3" t="s">
        <v>2807</v>
      </c>
      <c r="I1466" s="3"/>
      <c r="J1466" s="3" t="s">
        <v>17</v>
      </c>
      <c r="K1466" s="3">
        <v>52504</v>
      </c>
    </row>
    <row r="1467" spans="1:11">
      <c r="A1467" s="3" t="s">
        <v>2808</v>
      </c>
      <c r="B1467" s="3" t="s">
        <v>86</v>
      </c>
      <c r="C1467" s="3" t="s">
        <v>69</v>
      </c>
      <c r="D1467" s="3" t="s">
        <v>27</v>
      </c>
      <c r="E1467" s="3" t="s">
        <v>54</v>
      </c>
      <c r="F1467" s="3">
        <v>36</v>
      </c>
      <c r="G1467" s="3" t="s">
        <v>16</v>
      </c>
      <c r="H1467" s="4">
        <v>43673</v>
      </c>
      <c r="I1467" s="3"/>
      <c r="J1467" s="3" t="s">
        <v>17</v>
      </c>
      <c r="K1467" s="3">
        <v>36586</v>
      </c>
    </row>
    <row r="1468" spans="1:11">
      <c r="A1468" s="3" t="s">
        <v>2809</v>
      </c>
      <c r="B1468" s="3" t="s">
        <v>401</v>
      </c>
      <c r="C1468" s="3" t="s">
        <v>146</v>
      </c>
      <c r="D1468" s="3" t="s">
        <v>64</v>
      </c>
      <c r="E1468" s="3" t="s">
        <v>266</v>
      </c>
      <c r="F1468" s="3">
        <v>38</v>
      </c>
      <c r="G1468" s="3" t="s">
        <v>16</v>
      </c>
      <c r="H1468" s="3" t="s">
        <v>508</v>
      </c>
      <c r="I1468" s="3" t="s">
        <v>1165</v>
      </c>
      <c r="J1468" s="3" t="s">
        <v>51</v>
      </c>
      <c r="K1468" s="3">
        <v>18000</v>
      </c>
    </row>
    <row r="1469" spans="1:11">
      <c r="A1469" s="3" t="s">
        <v>2810</v>
      </c>
      <c r="B1469" s="3" t="s">
        <v>468</v>
      </c>
      <c r="C1469" s="3" t="s">
        <v>42</v>
      </c>
      <c r="D1469" s="3" t="s">
        <v>21</v>
      </c>
      <c r="E1469" s="3" t="s">
        <v>22</v>
      </c>
      <c r="F1469" s="3">
        <v>36</v>
      </c>
      <c r="G1469" s="3" t="s">
        <v>23</v>
      </c>
      <c r="H1469" s="3" t="s">
        <v>2811</v>
      </c>
      <c r="I1469" s="3" t="s">
        <v>2812</v>
      </c>
      <c r="J1469" s="3" t="s">
        <v>51</v>
      </c>
      <c r="K1469" s="3">
        <v>56694</v>
      </c>
    </row>
    <row r="1470" spans="1:11">
      <c r="A1470" s="3" t="s">
        <v>2813</v>
      </c>
      <c r="B1470" s="3" t="s">
        <v>226</v>
      </c>
      <c r="C1470" s="3" t="s">
        <v>63</v>
      </c>
      <c r="D1470" s="3" t="s">
        <v>33</v>
      </c>
      <c r="E1470" s="3" t="s">
        <v>79</v>
      </c>
      <c r="F1470" s="3">
        <v>23</v>
      </c>
      <c r="G1470" s="3" t="s">
        <v>16</v>
      </c>
      <c r="H1470" s="3" t="s">
        <v>2814</v>
      </c>
      <c r="I1470" s="3"/>
      <c r="J1470" s="3" t="s">
        <v>17</v>
      </c>
      <c r="K1470" s="3">
        <v>67121</v>
      </c>
    </row>
    <row r="1471" spans="1:11">
      <c r="A1471" s="3" t="s">
        <v>2815</v>
      </c>
      <c r="B1471" s="3" t="s">
        <v>58</v>
      </c>
      <c r="C1471" s="3" t="s">
        <v>69</v>
      </c>
      <c r="D1471" s="3" t="s">
        <v>27</v>
      </c>
      <c r="E1471" s="3" t="s">
        <v>28</v>
      </c>
      <c r="F1471" s="3">
        <v>21</v>
      </c>
      <c r="G1471" s="3" t="s">
        <v>23</v>
      </c>
      <c r="H1471" s="3" t="s">
        <v>1857</v>
      </c>
      <c r="I1471" s="3"/>
      <c r="J1471" s="3" t="s">
        <v>17</v>
      </c>
      <c r="K1471" s="3">
        <v>18000</v>
      </c>
    </row>
    <row r="1472" spans="1:11">
      <c r="A1472" s="3" t="s">
        <v>2816</v>
      </c>
      <c r="B1472" s="3" t="s">
        <v>68</v>
      </c>
      <c r="C1472" s="3" t="s">
        <v>83</v>
      </c>
      <c r="D1472" s="3" t="s">
        <v>21</v>
      </c>
      <c r="E1472" s="3" t="s">
        <v>22</v>
      </c>
      <c r="F1472" s="3">
        <v>34</v>
      </c>
      <c r="G1472" s="3" t="s">
        <v>23</v>
      </c>
      <c r="H1472" s="3" t="s">
        <v>2817</v>
      </c>
      <c r="I1472" s="3" t="s">
        <v>2818</v>
      </c>
      <c r="J1472" s="3" t="s">
        <v>51</v>
      </c>
      <c r="K1472" s="3">
        <v>41141</v>
      </c>
    </row>
    <row r="1473" spans="1:11">
      <c r="A1473" s="3" t="s">
        <v>2819</v>
      </c>
      <c r="B1473" s="3" t="s">
        <v>238</v>
      </c>
      <c r="C1473" s="3" t="s">
        <v>249</v>
      </c>
      <c r="D1473" s="3" t="s">
        <v>21</v>
      </c>
      <c r="E1473" s="3" t="s">
        <v>95</v>
      </c>
      <c r="F1473" s="3">
        <v>21</v>
      </c>
      <c r="G1473" s="3" t="s">
        <v>16</v>
      </c>
      <c r="H1473" s="3" t="s">
        <v>2820</v>
      </c>
      <c r="I1473" s="3" t="s">
        <v>2821</v>
      </c>
      <c r="J1473" s="3" t="s">
        <v>51</v>
      </c>
      <c r="K1473" s="3">
        <v>48929</v>
      </c>
    </row>
    <row r="1474" spans="1:11">
      <c r="A1474" s="3" t="s">
        <v>2822</v>
      </c>
      <c r="B1474" s="3" t="s">
        <v>298</v>
      </c>
      <c r="C1474" s="3" t="s">
        <v>13</v>
      </c>
      <c r="D1474" s="3" t="s">
        <v>239</v>
      </c>
      <c r="E1474" s="3" t="s">
        <v>122</v>
      </c>
      <c r="F1474" s="3">
        <v>21</v>
      </c>
      <c r="G1474" s="3" t="s">
        <v>16</v>
      </c>
      <c r="H1474" s="3" t="s">
        <v>2823</v>
      </c>
      <c r="I1474" s="3"/>
      <c r="J1474" s="3" t="s">
        <v>17</v>
      </c>
      <c r="K1474" s="3">
        <v>39931</v>
      </c>
    </row>
    <row r="1475" spans="1:11">
      <c r="A1475" s="3" t="s">
        <v>2824</v>
      </c>
      <c r="B1475" s="3" t="s">
        <v>68</v>
      </c>
      <c r="C1475" s="3" t="s">
        <v>129</v>
      </c>
      <c r="D1475" s="3" t="s">
        <v>321</v>
      </c>
      <c r="E1475" s="3" t="s">
        <v>155</v>
      </c>
      <c r="F1475" s="3">
        <v>36</v>
      </c>
      <c r="G1475" s="3" t="s">
        <v>16</v>
      </c>
      <c r="H1475" s="3" t="s">
        <v>2825</v>
      </c>
      <c r="I1475" s="3"/>
      <c r="J1475" s="3" t="s">
        <v>17</v>
      </c>
      <c r="K1475" s="3">
        <v>62560</v>
      </c>
    </row>
    <row r="1476" spans="1:11">
      <c r="A1476" s="3" t="s">
        <v>2826</v>
      </c>
      <c r="B1476" s="3" t="s">
        <v>98</v>
      </c>
      <c r="C1476" s="3" t="s">
        <v>74</v>
      </c>
      <c r="D1476" s="3" t="s">
        <v>64</v>
      </c>
      <c r="E1476" s="3" t="s">
        <v>161</v>
      </c>
      <c r="F1476" s="3">
        <v>49</v>
      </c>
      <c r="G1476" s="3" t="s">
        <v>23</v>
      </c>
      <c r="H1476" s="3" t="s">
        <v>2827</v>
      </c>
      <c r="I1476" s="3"/>
      <c r="J1476" s="3" t="s">
        <v>17</v>
      </c>
      <c r="K1476" s="3">
        <v>56683</v>
      </c>
    </row>
    <row r="1477" spans="1:11">
      <c r="A1477" s="3" t="s">
        <v>2828</v>
      </c>
      <c r="B1477" s="3" t="s">
        <v>82</v>
      </c>
      <c r="C1477" s="3" t="s">
        <v>42</v>
      </c>
      <c r="D1477" s="3" t="s">
        <v>64</v>
      </c>
      <c r="E1477" s="3" t="s">
        <v>161</v>
      </c>
      <c r="F1477" s="3">
        <v>33</v>
      </c>
      <c r="G1477" s="3" t="s">
        <v>23</v>
      </c>
      <c r="H1477" s="3" t="s">
        <v>2829</v>
      </c>
      <c r="I1477" s="3"/>
      <c r="J1477" s="3" t="s">
        <v>17</v>
      </c>
      <c r="K1477" s="3">
        <v>48089</v>
      </c>
    </row>
    <row r="1478" spans="1:11">
      <c r="A1478" s="3" t="s">
        <v>2745</v>
      </c>
      <c r="B1478" s="3" t="s">
        <v>238</v>
      </c>
      <c r="C1478" s="3" t="s">
        <v>26</v>
      </c>
      <c r="D1478" s="3" t="s">
        <v>21</v>
      </c>
      <c r="E1478" s="3" t="s">
        <v>87</v>
      </c>
      <c r="F1478" s="3">
        <v>23</v>
      </c>
      <c r="G1478" s="3" t="s">
        <v>16</v>
      </c>
      <c r="H1478" s="3" t="s">
        <v>1068</v>
      </c>
      <c r="I1478" s="3"/>
      <c r="J1478" s="3" t="s">
        <v>17</v>
      </c>
      <c r="K1478" s="3">
        <v>59185</v>
      </c>
    </row>
    <row r="1479" spans="1:11">
      <c r="A1479" s="3" t="s">
        <v>2830</v>
      </c>
      <c r="B1479" s="3" t="s">
        <v>252</v>
      </c>
      <c r="C1479" s="3" t="s">
        <v>83</v>
      </c>
      <c r="D1479" s="3" t="s">
        <v>27</v>
      </c>
      <c r="E1479" s="3" t="s">
        <v>122</v>
      </c>
      <c r="F1479" s="3">
        <v>30</v>
      </c>
      <c r="G1479" s="3" t="s">
        <v>23</v>
      </c>
      <c r="H1479" s="3" t="s">
        <v>2831</v>
      </c>
      <c r="I1479" s="3"/>
      <c r="J1479" s="3" t="s">
        <v>17</v>
      </c>
      <c r="K1479" s="3">
        <v>84015</v>
      </c>
    </row>
    <row r="1480" spans="1:11">
      <c r="A1480" s="3" t="s">
        <v>2832</v>
      </c>
      <c r="B1480" s="3" t="s">
        <v>223</v>
      </c>
      <c r="C1480" s="3" t="s">
        <v>42</v>
      </c>
      <c r="D1480" s="3" t="s">
        <v>33</v>
      </c>
      <c r="E1480" s="3" t="s">
        <v>79</v>
      </c>
      <c r="F1480" s="3">
        <v>39</v>
      </c>
      <c r="G1480" s="3" t="s">
        <v>23</v>
      </c>
      <c r="H1480" s="3" t="s">
        <v>188</v>
      </c>
      <c r="I1480" s="3"/>
      <c r="J1480" s="3" t="s">
        <v>17</v>
      </c>
      <c r="K1480" s="3">
        <v>50258</v>
      </c>
    </row>
    <row r="1481" spans="1:11">
      <c r="A1481" s="3" t="s">
        <v>2833</v>
      </c>
      <c r="B1481" s="3" t="s">
        <v>19</v>
      </c>
      <c r="C1481" s="3" t="s">
        <v>53</v>
      </c>
      <c r="D1481" s="3" t="s">
        <v>187</v>
      </c>
      <c r="E1481" s="3" t="s">
        <v>87</v>
      </c>
      <c r="F1481" s="3">
        <v>39</v>
      </c>
      <c r="G1481" s="3" t="s">
        <v>16</v>
      </c>
      <c r="H1481" s="3" t="s">
        <v>2834</v>
      </c>
      <c r="I1481" s="3"/>
      <c r="J1481" s="3" t="s">
        <v>17</v>
      </c>
      <c r="K1481" s="3">
        <v>71419</v>
      </c>
    </row>
    <row r="1482" spans="1:11">
      <c r="A1482" s="3" t="s">
        <v>2835</v>
      </c>
      <c r="B1482" s="3" t="s">
        <v>298</v>
      </c>
      <c r="C1482" s="3" t="s">
        <v>42</v>
      </c>
      <c r="D1482" s="3" t="s">
        <v>43</v>
      </c>
      <c r="E1482" s="3" t="s">
        <v>44</v>
      </c>
      <c r="F1482" s="3">
        <v>44</v>
      </c>
      <c r="G1482" s="3" t="s">
        <v>16</v>
      </c>
      <c r="H1482" s="3" t="s">
        <v>1982</v>
      </c>
      <c r="I1482" s="3"/>
      <c r="J1482" s="3" t="s">
        <v>17</v>
      </c>
      <c r="K1482" s="3">
        <v>68298</v>
      </c>
    </row>
    <row r="1483" spans="1:11">
      <c r="A1483" s="3" t="s">
        <v>2836</v>
      </c>
      <c r="B1483" s="3" t="s">
        <v>98</v>
      </c>
      <c r="C1483" s="3" t="s">
        <v>103</v>
      </c>
      <c r="D1483" s="3" t="s">
        <v>64</v>
      </c>
      <c r="E1483" s="3" t="s">
        <v>161</v>
      </c>
      <c r="F1483" s="3">
        <v>33</v>
      </c>
      <c r="G1483" s="3" t="s">
        <v>16</v>
      </c>
      <c r="H1483" s="3" t="s">
        <v>1851</v>
      </c>
      <c r="I1483" s="3"/>
      <c r="J1483" s="3" t="s">
        <v>17</v>
      </c>
      <c r="K1483" s="3">
        <v>55712</v>
      </c>
    </row>
    <row r="1484" spans="1:11">
      <c r="A1484" s="3" t="s">
        <v>2837</v>
      </c>
      <c r="B1484" s="3" t="s">
        <v>93</v>
      </c>
      <c r="C1484" s="3" t="s">
        <v>69</v>
      </c>
      <c r="D1484" s="3" t="s">
        <v>33</v>
      </c>
      <c r="E1484" s="3" t="s">
        <v>79</v>
      </c>
      <c r="F1484" s="3">
        <v>41</v>
      </c>
      <c r="G1484" s="3" t="s">
        <v>23</v>
      </c>
      <c r="H1484" s="3" t="s">
        <v>2838</v>
      </c>
      <c r="I1484" s="3"/>
      <c r="J1484" s="3" t="s">
        <v>17</v>
      </c>
      <c r="K1484" s="3">
        <v>78751</v>
      </c>
    </row>
    <row r="1485" spans="1:11">
      <c r="A1485" s="3" t="s">
        <v>2839</v>
      </c>
      <c r="B1485" s="3" t="s">
        <v>12</v>
      </c>
      <c r="C1485" s="3" t="s">
        <v>20</v>
      </c>
      <c r="D1485" s="3" t="s">
        <v>64</v>
      </c>
      <c r="E1485" s="3" t="s">
        <v>161</v>
      </c>
      <c r="F1485" s="3">
        <v>24</v>
      </c>
      <c r="G1485" s="3" t="s">
        <v>23</v>
      </c>
      <c r="H1485" s="3" t="s">
        <v>2626</v>
      </c>
      <c r="I1485" s="3" t="s">
        <v>1024</v>
      </c>
      <c r="J1485" s="3" t="s">
        <v>51</v>
      </c>
      <c r="K1485" s="3">
        <v>18834</v>
      </c>
    </row>
    <row r="1486" spans="1:11">
      <c r="A1486" s="3" t="s">
        <v>2840</v>
      </c>
      <c r="B1486" s="3" t="s">
        <v>298</v>
      </c>
      <c r="C1486" s="3" t="s">
        <v>20</v>
      </c>
      <c r="D1486" s="3" t="s">
        <v>64</v>
      </c>
      <c r="E1486" s="3" t="s">
        <v>161</v>
      </c>
      <c r="F1486" s="3">
        <v>21</v>
      </c>
      <c r="G1486" s="3" t="s">
        <v>23</v>
      </c>
      <c r="H1486" s="3" t="s">
        <v>488</v>
      </c>
      <c r="I1486" s="3"/>
      <c r="J1486" s="3" t="s">
        <v>17</v>
      </c>
      <c r="K1486" s="3">
        <v>64931</v>
      </c>
    </row>
    <row r="1487" spans="1:11">
      <c r="A1487" s="3" t="s">
        <v>2841</v>
      </c>
      <c r="B1487" s="3" t="s">
        <v>141</v>
      </c>
      <c r="C1487" s="3" t="s">
        <v>135</v>
      </c>
      <c r="D1487" s="3" t="s">
        <v>64</v>
      </c>
      <c r="E1487" s="3" t="s">
        <v>65</v>
      </c>
      <c r="F1487" s="3">
        <v>30</v>
      </c>
      <c r="G1487" s="3" t="s">
        <v>23</v>
      </c>
      <c r="H1487" s="3" t="s">
        <v>2842</v>
      </c>
      <c r="I1487" s="3"/>
      <c r="J1487" s="3" t="s">
        <v>17</v>
      </c>
      <c r="K1487" s="3">
        <v>40051</v>
      </c>
    </row>
    <row r="1488" spans="1:11">
      <c r="A1488" s="3" t="s">
        <v>2843</v>
      </c>
      <c r="B1488" s="3" t="s">
        <v>223</v>
      </c>
      <c r="C1488" s="3" t="s">
        <v>53</v>
      </c>
      <c r="D1488" s="3" t="s">
        <v>27</v>
      </c>
      <c r="E1488" s="3" t="s">
        <v>122</v>
      </c>
      <c r="F1488" s="3">
        <v>26</v>
      </c>
      <c r="G1488" s="3" t="s">
        <v>16</v>
      </c>
      <c r="H1488" s="3" t="s">
        <v>2844</v>
      </c>
      <c r="I1488" s="3" t="s">
        <v>512</v>
      </c>
      <c r="J1488" s="3" t="s">
        <v>51</v>
      </c>
      <c r="K1488" s="3">
        <v>53122</v>
      </c>
    </row>
    <row r="1489" spans="1:11">
      <c r="A1489" s="3" t="s">
        <v>2845</v>
      </c>
      <c r="B1489" s="3" t="s">
        <v>128</v>
      </c>
      <c r="C1489" s="3" t="s">
        <v>169</v>
      </c>
      <c r="D1489" s="3" t="s">
        <v>43</v>
      </c>
      <c r="E1489" s="3" t="s">
        <v>48</v>
      </c>
      <c r="F1489" s="3">
        <v>26</v>
      </c>
      <c r="G1489" s="3" t="s">
        <v>16</v>
      </c>
      <c r="H1489" s="3" t="s">
        <v>203</v>
      </c>
      <c r="I1489" s="3"/>
      <c r="J1489" s="3" t="s">
        <v>17</v>
      </c>
      <c r="K1489" s="3">
        <v>65953</v>
      </c>
    </row>
    <row r="1490" spans="1:11">
      <c r="A1490" s="3" t="s">
        <v>2846</v>
      </c>
      <c r="B1490" s="3" t="s">
        <v>68</v>
      </c>
      <c r="C1490" s="3" t="s">
        <v>53</v>
      </c>
      <c r="D1490" s="3" t="s">
        <v>27</v>
      </c>
      <c r="E1490" s="3" t="s">
        <v>28</v>
      </c>
      <c r="F1490" s="3">
        <v>44</v>
      </c>
      <c r="G1490" s="3" t="s">
        <v>16</v>
      </c>
      <c r="H1490" s="3" t="s">
        <v>1566</v>
      </c>
      <c r="I1490" s="3"/>
      <c r="J1490" s="3" t="s">
        <v>17</v>
      </c>
      <c r="K1490" s="3">
        <v>93051</v>
      </c>
    </row>
    <row r="1491" spans="1:11">
      <c r="A1491" s="3" t="s">
        <v>2847</v>
      </c>
      <c r="B1491" s="3" t="s">
        <v>134</v>
      </c>
      <c r="C1491" s="3" t="s">
        <v>146</v>
      </c>
      <c r="D1491" s="3" t="s">
        <v>27</v>
      </c>
      <c r="E1491" s="3" t="s">
        <v>122</v>
      </c>
      <c r="F1491" s="3">
        <v>39</v>
      </c>
      <c r="G1491" s="3" t="s">
        <v>16</v>
      </c>
      <c r="H1491" s="3" t="s">
        <v>2848</v>
      </c>
      <c r="I1491" s="3"/>
      <c r="J1491" s="3" t="s">
        <v>17</v>
      </c>
      <c r="K1491" s="3">
        <v>42651</v>
      </c>
    </row>
    <row r="1492" spans="1:11">
      <c r="A1492" s="3" t="s">
        <v>2849</v>
      </c>
      <c r="B1492" s="3" t="s">
        <v>31</v>
      </c>
      <c r="C1492" s="3" t="s">
        <v>169</v>
      </c>
      <c r="D1492" s="3" t="s">
        <v>33</v>
      </c>
      <c r="E1492" s="3" t="s">
        <v>34</v>
      </c>
      <c r="F1492" s="3">
        <v>21</v>
      </c>
      <c r="G1492" s="3" t="s">
        <v>16</v>
      </c>
      <c r="H1492" s="3" t="s">
        <v>2850</v>
      </c>
      <c r="I1492" s="3"/>
      <c r="J1492" s="3" t="s">
        <v>17</v>
      </c>
      <c r="K1492" s="3">
        <v>75518</v>
      </c>
    </row>
    <row r="1493" spans="1:11">
      <c r="A1493" s="3" t="s">
        <v>2851</v>
      </c>
      <c r="B1493" s="3" t="s">
        <v>160</v>
      </c>
      <c r="C1493" s="3" t="s">
        <v>174</v>
      </c>
      <c r="D1493" s="3" t="s">
        <v>21</v>
      </c>
      <c r="E1493" s="3" t="s">
        <v>95</v>
      </c>
      <c r="F1493" s="3">
        <v>36</v>
      </c>
      <c r="G1493" s="3" t="s">
        <v>16</v>
      </c>
      <c r="H1493" s="3" t="s">
        <v>2852</v>
      </c>
      <c r="I1493" s="3"/>
      <c r="J1493" s="3" t="s">
        <v>17</v>
      </c>
      <c r="K1493" s="3">
        <v>56826</v>
      </c>
    </row>
    <row r="1494" spans="1:11">
      <c r="A1494" s="3" t="s">
        <v>2853</v>
      </c>
      <c r="B1494" s="3" t="s">
        <v>226</v>
      </c>
      <c r="C1494" s="3" t="s">
        <v>213</v>
      </c>
      <c r="D1494" s="3" t="s">
        <v>33</v>
      </c>
      <c r="E1494" s="3" t="s">
        <v>79</v>
      </c>
      <c r="F1494" s="3">
        <v>24</v>
      </c>
      <c r="G1494" s="3" t="s">
        <v>23</v>
      </c>
      <c r="H1494" s="3" t="s">
        <v>2854</v>
      </c>
      <c r="I1494" s="3"/>
      <c r="J1494" s="3" t="s">
        <v>17</v>
      </c>
      <c r="K1494" s="3">
        <v>57707</v>
      </c>
    </row>
    <row r="1495" spans="1:11">
      <c r="A1495" s="3" t="s">
        <v>2855</v>
      </c>
      <c r="B1495" s="3" t="s">
        <v>90</v>
      </c>
      <c r="C1495" s="3" t="s">
        <v>26</v>
      </c>
      <c r="D1495" s="3" t="s">
        <v>43</v>
      </c>
      <c r="E1495" s="3" t="s">
        <v>48</v>
      </c>
      <c r="F1495" s="3">
        <v>38</v>
      </c>
      <c r="G1495" s="3" t="s">
        <v>16</v>
      </c>
      <c r="H1495" s="3" t="s">
        <v>2639</v>
      </c>
      <c r="I1495" s="3"/>
      <c r="J1495" s="3" t="s">
        <v>17</v>
      </c>
      <c r="K1495" s="3">
        <v>61599</v>
      </c>
    </row>
    <row r="1496" spans="1:11">
      <c r="A1496" s="3" t="s">
        <v>2856</v>
      </c>
      <c r="B1496" s="3" t="s">
        <v>12</v>
      </c>
      <c r="C1496" s="3" t="s">
        <v>94</v>
      </c>
      <c r="D1496" s="3" t="s">
        <v>27</v>
      </c>
      <c r="E1496" s="3" t="s">
        <v>54</v>
      </c>
      <c r="F1496" s="3">
        <v>36</v>
      </c>
      <c r="G1496" s="3" t="s">
        <v>23</v>
      </c>
      <c r="H1496" s="3" t="s">
        <v>2857</v>
      </c>
      <c r="I1496" s="3"/>
      <c r="J1496" s="3" t="s">
        <v>17</v>
      </c>
      <c r="K1496" s="3">
        <v>66654</v>
      </c>
    </row>
    <row r="1497" spans="1:11">
      <c r="A1497" s="3" t="s">
        <v>2858</v>
      </c>
      <c r="B1497" s="3" t="s">
        <v>141</v>
      </c>
      <c r="C1497" s="3" t="s">
        <v>20</v>
      </c>
      <c r="D1497" s="3" t="s">
        <v>27</v>
      </c>
      <c r="E1497" s="3" t="s">
        <v>28</v>
      </c>
      <c r="F1497" s="3">
        <v>36</v>
      </c>
      <c r="G1497" s="3" t="s">
        <v>23</v>
      </c>
      <c r="H1497" s="3" t="s">
        <v>1916</v>
      </c>
      <c r="I1497" s="3"/>
      <c r="J1497" s="3" t="s">
        <v>17</v>
      </c>
      <c r="K1497" s="3">
        <v>51870</v>
      </c>
    </row>
    <row r="1498" spans="1:11">
      <c r="A1498" s="3" t="s">
        <v>2859</v>
      </c>
      <c r="B1498" s="3" t="s">
        <v>252</v>
      </c>
      <c r="C1498" s="3" t="s">
        <v>13</v>
      </c>
      <c r="D1498" s="3" t="s">
        <v>43</v>
      </c>
      <c r="E1498" s="3" t="s">
        <v>48</v>
      </c>
      <c r="F1498" s="3">
        <v>54</v>
      </c>
      <c r="G1498" s="3" t="s">
        <v>16</v>
      </c>
      <c r="H1498" s="3" t="s">
        <v>2860</v>
      </c>
      <c r="I1498" s="3"/>
      <c r="J1498" s="3" t="s">
        <v>17</v>
      </c>
      <c r="K1498" s="3">
        <v>23927</v>
      </c>
    </row>
    <row r="1499" spans="1:11">
      <c r="A1499" s="3" t="s">
        <v>2861</v>
      </c>
      <c r="B1499" s="3" t="s">
        <v>401</v>
      </c>
      <c r="C1499" s="3" t="s">
        <v>38</v>
      </c>
      <c r="D1499" s="3" t="s">
        <v>27</v>
      </c>
      <c r="E1499" s="3" t="s">
        <v>54</v>
      </c>
      <c r="F1499" s="3">
        <v>28</v>
      </c>
      <c r="G1499" s="3" t="s">
        <v>23</v>
      </c>
      <c r="H1499" s="3" t="s">
        <v>2298</v>
      </c>
      <c r="I1499" s="3"/>
      <c r="J1499" s="3" t="s">
        <v>17</v>
      </c>
      <c r="K1499" s="3">
        <v>64723</v>
      </c>
    </row>
    <row r="1500" spans="1:11">
      <c r="A1500" s="3" t="s">
        <v>2862</v>
      </c>
      <c r="B1500" s="3" t="s">
        <v>62</v>
      </c>
      <c r="C1500" s="3" t="s">
        <v>63</v>
      </c>
      <c r="D1500" s="3" t="s">
        <v>64</v>
      </c>
      <c r="E1500" s="3" t="s">
        <v>65</v>
      </c>
      <c r="F1500" s="3">
        <v>35</v>
      </c>
      <c r="G1500" s="3" t="s">
        <v>16</v>
      </c>
      <c r="H1500" s="3" t="s">
        <v>2863</v>
      </c>
      <c r="I1500" s="3"/>
      <c r="J1500" s="3" t="s">
        <v>17</v>
      </c>
      <c r="K1500" s="3">
        <v>48841</v>
      </c>
    </row>
    <row r="1501" spans="1:11">
      <c r="A1501" s="3" t="s">
        <v>2864</v>
      </c>
      <c r="B1501" s="3" t="s">
        <v>141</v>
      </c>
      <c r="C1501" s="3" t="s">
        <v>38</v>
      </c>
      <c r="D1501" s="3" t="s">
        <v>33</v>
      </c>
      <c r="E1501" s="3" t="s">
        <v>34</v>
      </c>
      <c r="F1501" s="3">
        <v>29</v>
      </c>
      <c r="G1501" s="3" t="s">
        <v>16</v>
      </c>
      <c r="H1501" s="3" t="s">
        <v>2865</v>
      </c>
      <c r="I1501" s="3"/>
      <c r="J1501" s="3" t="s">
        <v>17</v>
      </c>
      <c r="K1501" s="3">
        <v>29884</v>
      </c>
    </row>
    <row r="1502" spans="1:11">
      <c r="A1502" s="3" t="s">
        <v>2866</v>
      </c>
      <c r="B1502" s="3" t="s">
        <v>186</v>
      </c>
      <c r="C1502" s="3" t="s">
        <v>103</v>
      </c>
      <c r="D1502" s="3" t="s">
        <v>33</v>
      </c>
      <c r="E1502" s="3" t="s">
        <v>79</v>
      </c>
      <c r="F1502" s="3">
        <v>28</v>
      </c>
      <c r="G1502" s="3" t="s">
        <v>23</v>
      </c>
      <c r="H1502" s="3" t="s">
        <v>627</v>
      </c>
      <c r="I1502" s="3"/>
      <c r="J1502" s="3" t="s">
        <v>17</v>
      </c>
      <c r="K1502" s="3">
        <v>42998</v>
      </c>
    </row>
    <row r="1503" spans="1:11">
      <c r="A1503" s="3" t="s">
        <v>2867</v>
      </c>
      <c r="B1503" s="3" t="s">
        <v>68</v>
      </c>
      <c r="C1503" s="3" t="s">
        <v>53</v>
      </c>
      <c r="D1503" s="3" t="s">
        <v>43</v>
      </c>
      <c r="E1503" s="3" t="s">
        <v>48</v>
      </c>
      <c r="F1503" s="3">
        <v>24</v>
      </c>
      <c r="G1503" s="3" t="s">
        <v>23</v>
      </c>
      <c r="H1503" s="3" t="s">
        <v>870</v>
      </c>
      <c r="I1503" s="3"/>
      <c r="J1503" s="3" t="s">
        <v>17</v>
      </c>
      <c r="K1503" s="3">
        <v>28756</v>
      </c>
    </row>
    <row r="1504" spans="1:11">
      <c r="A1504" s="3" t="s">
        <v>2868</v>
      </c>
      <c r="B1504" s="3" t="s">
        <v>252</v>
      </c>
      <c r="C1504" s="3" t="s">
        <v>38</v>
      </c>
      <c r="D1504" s="3" t="s">
        <v>43</v>
      </c>
      <c r="E1504" s="3" t="s">
        <v>48</v>
      </c>
      <c r="F1504" s="3">
        <v>43</v>
      </c>
      <c r="G1504" s="3" t="s">
        <v>16</v>
      </c>
      <c r="H1504" s="3" t="s">
        <v>1222</v>
      </c>
      <c r="I1504" s="3"/>
      <c r="J1504" s="3" t="s">
        <v>17</v>
      </c>
      <c r="K1504" s="3">
        <v>18000</v>
      </c>
    </row>
    <row r="1505" spans="1:11">
      <c r="A1505" s="3" t="s">
        <v>2869</v>
      </c>
      <c r="B1505" s="3" t="s">
        <v>19</v>
      </c>
      <c r="C1505" s="3" t="s">
        <v>174</v>
      </c>
      <c r="D1505" s="3" t="s">
        <v>21</v>
      </c>
      <c r="E1505" s="3" t="s">
        <v>87</v>
      </c>
      <c r="F1505" s="3">
        <v>37</v>
      </c>
      <c r="G1505" s="3" t="s">
        <v>16</v>
      </c>
      <c r="H1505" s="3" t="s">
        <v>2528</v>
      </c>
      <c r="I1505" s="3"/>
      <c r="J1505" s="3" t="s">
        <v>17</v>
      </c>
      <c r="K1505" s="3">
        <v>42248</v>
      </c>
    </row>
    <row r="1506" spans="1:11">
      <c r="A1506" s="3" t="s">
        <v>2870</v>
      </c>
      <c r="B1506" s="3" t="s">
        <v>82</v>
      </c>
      <c r="C1506" s="3" t="s">
        <v>135</v>
      </c>
      <c r="D1506" s="3" t="s">
        <v>239</v>
      </c>
      <c r="E1506" s="3" t="s">
        <v>54</v>
      </c>
      <c r="F1506" s="3">
        <v>38</v>
      </c>
      <c r="G1506" s="3" t="s">
        <v>16</v>
      </c>
      <c r="H1506" s="3" t="s">
        <v>2871</v>
      </c>
      <c r="I1506" s="3"/>
      <c r="J1506" s="3" t="s">
        <v>17</v>
      </c>
      <c r="K1506" s="3">
        <v>32634</v>
      </c>
    </row>
    <row r="1507" spans="1:11">
      <c r="A1507" s="3" t="s">
        <v>2872</v>
      </c>
      <c r="B1507" s="3" t="s">
        <v>62</v>
      </c>
      <c r="C1507" s="3" t="s">
        <v>146</v>
      </c>
      <c r="D1507" s="3" t="s">
        <v>187</v>
      </c>
      <c r="E1507" s="3" t="s">
        <v>95</v>
      </c>
      <c r="F1507" s="3">
        <v>21</v>
      </c>
      <c r="G1507" s="3" t="s">
        <v>23</v>
      </c>
      <c r="H1507" s="3" t="s">
        <v>830</v>
      </c>
      <c r="I1507" s="3"/>
      <c r="J1507" s="3" t="s">
        <v>17</v>
      </c>
      <c r="K1507" s="3">
        <v>54602</v>
      </c>
    </row>
    <row r="1508" spans="1:11">
      <c r="A1508" s="3" t="s">
        <v>2873</v>
      </c>
      <c r="B1508" s="3" t="s">
        <v>263</v>
      </c>
      <c r="C1508" s="3" t="s">
        <v>213</v>
      </c>
      <c r="D1508" s="3" t="s">
        <v>21</v>
      </c>
      <c r="E1508" s="3" t="s">
        <v>95</v>
      </c>
      <c r="F1508" s="3">
        <v>32</v>
      </c>
      <c r="G1508" s="3" t="s">
        <v>23</v>
      </c>
      <c r="H1508" s="3" t="s">
        <v>2874</v>
      </c>
      <c r="I1508" s="3" t="s">
        <v>2875</v>
      </c>
      <c r="J1508" s="3" t="s">
        <v>51</v>
      </c>
      <c r="K1508" s="3">
        <v>63766</v>
      </c>
    </row>
    <row r="1509" spans="1:11">
      <c r="A1509" s="3" t="s">
        <v>2876</v>
      </c>
      <c r="B1509" s="3" t="s">
        <v>223</v>
      </c>
      <c r="C1509" s="3" t="s">
        <v>26</v>
      </c>
      <c r="D1509" s="3" t="s">
        <v>14</v>
      </c>
      <c r="E1509" s="3" t="s">
        <v>15</v>
      </c>
      <c r="F1509" s="3">
        <v>41</v>
      </c>
      <c r="G1509" s="3" t="s">
        <v>23</v>
      </c>
      <c r="H1509" s="3" t="s">
        <v>2877</v>
      </c>
      <c r="I1509" s="3"/>
      <c r="J1509" s="3" t="s">
        <v>17</v>
      </c>
      <c r="K1509" s="3">
        <v>53702</v>
      </c>
    </row>
    <row r="1513" spans="1:2">
      <c r="A1513" t="s">
        <v>2878</v>
      </c>
      <c r="B1513" t="s">
        <v>6</v>
      </c>
    </row>
    <row r="1514" spans="1:4">
      <c r="A1514" t="s">
        <v>3</v>
      </c>
      <c r="B1514" t="s">
        <v>23</v>
      </c>
      <c r="C1514" t="s">
        <v>16</v>
      </c>
      <c r="D1514" t="s">
        <v>2879</v>
      </c>
    </row>
    <row r="1515" spans="1:4">
      <c r="A1515" t="s">
        <v>21</v>
      </c>
      <c r="B1515">
        <v>9019441</v>
      </c>
      <c r="C1515">
        <v>13139197</v>
      </c>
      <c r="D1515">
        <v>22158638</v>
      </c>
    </row>
    <row r="1516" spans="1:4">
      <c r="A1516" t="s">
        <v>33</v>
      </c>
      <c r="B1516">
        <v>4221488</v>
      </c>
      <c r="C1516">
        <v>6520771</v>
      </c>
      <c r="D1516">
        <v>10742259</v>
      </c>
    </row>
    <row r="1517" spans="1:4">
      <c r="A1517" t="s">
        <v>27</v>
      </c>
      <c r="B1517">
        <v>5849492</v>
      </c>
      <c r="C1517">
        <v>8268724</v>
      </c>
      <c r="D1517">
        <v>14118216</v>
      </c>
    </row>
    <row r="1518" spans="1:4">
      <c r="A1518" t="s">
        <v>64</v>
      </c>
      <c r="B1518">
        <v>4304075</v>
      </c>
      <c r="C1518">
        <v>7578248</v>
      </c>
      <c r="D1518">
        <v>11882323</v>
      </c>
    </row>
    <row r="1519" spans="1:4">
      <c r="A1519" t="s">
        <v>14</v>
      </c>
      <c r="B1519">
        <v>1969898</v>
      </c>
      <c r="C1519">
        <v>3074002</v>
      </c>
      <c r="D1519">
        <v>5043900</v>
      </c>
    </row>
    <row r="1520" spans="1:4">
      <c r="A1520" t="s">
        <v>43</v>
      </c>
      <c r="B1520">
        <v>8129925</v>
      </c>
      <c r="C1520">
        <v>11316050</v>
      </c>
      <c r="D1520">
        <v>19445975</v>
      </c>
    </row>
    <row r="1521" spans="1:4">
      <c r="A1521" t="s">
        <v>2879</v>
      </c>
      <c r="B1521">
        <v>33494319</v>
      </c>
      <c r="C1521">
        <v>49896992</v>
      </c>
      <c r="D1521">
        <v>83391311</v>
      </c>
    </row>
  </sheetData>
  <autoFilter xmlns:etc="http://www.wps.cn/officeDocument/2017/etCustomData" ref="A1:K1509" etc:filterBottomFollowUsedRange="0">
    <extLst/>
  </autoFilter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Mitha Poojary</cp:lastModifiedBy>
  <dcterms:created xsi:type="dcterms:W3CDTF">2026-07-25T14:23:00Z</dcterms:created>
  <dcterms:modified xsi:type="dcterms:W3CDTF">2026-08-04T12:14:23Z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59A815C956AA4CED80500B30AC3CE9D1_13</vt:lpwstr>
  </property>
  <property fmtid="{D5CDD505-2E9C-101B-9397-08002B2CF9AE}" pid="3" name="KSOProductBuildVer">
    <vt:lpwstr>1033-12.2.0.22549</vt:lpwstr>
  </property>
</Properties>
</file>